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</sheets>
  <definedNames>
    <definedName name="_xlnm._FilterDatabase" localSheetId="0" hidden="1">'Sales Data'!$A$1:$N$101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24" customWidth="1" min="4" max="4"/>
    <col width="14" customWidth="1" min="5" max="5"/>
    <col width="10" customWidth="1" min="6" max="6"/>
    <col width="12" customWidth="1" min="7" max="7"/>
    <col width="10" customWidth="1" min="8" max="8"/>
    <col width="10" customWidth="1" min="9" max="9"/>
    <col width="18" customWidth="1" min="10" max="10"/>
    <col width="15" customWidth="1" min="11" max="11"/>
    <col width="16" customWidth="1" min="12" max="12"/>
    <col width="13" customWidth="1" min="13" max="13"/>
    <col width="15" customWidth="1" min="14" max="14"/>
  </cols>
  <sheetData>
    <row r="1" ht="24" customHeight="1">
      <c r="A1" s="1" t="inlineStr">
        <is>
          <t>Date</t>
        </is>
      </c>
      <c r="B1" s="1" t="inlineStr">
        <is>
          <t>Invoice No.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Discount</t>
        </is>
      </c>
      <c r="I1" s="1" t="inlineStr">
        <is>
          <t>Tax Rate</t>
        </is>
      </c>
      <c r="J1" s="1" t="inlineStr">
        <is>
          <t>Salesperson</t>
        </is>
      </c>
      <c r="K1" s="1" t="inlineStr">
        <is>
          <t>Gross Amount</t>
        </is>
      </c>
      <c r="L1" s="1" t="inlineStr">
        <is>
          <t>Discount Amount</t>
        </is>
      </c>
      <c r="M1" s="1" t="inlineStr">
        <is>
          <t>Tax Amount</t>
        </is>
      </c>
      <c r="N1" s="1" t="inlineStr">
        <is>
          <t>Net Sales</t>
        </is>
      </c>
    </row>
    <row r="2">
      <c r="A2" s="2" t="n">
        <v>46023</v>
      </c>
      <c r="B2" s="3" t="inlineStr">
        <is>
          <t>INV-202601-0001</t>
        </is>
      </c>
      <c r="C2" s="3" t="inlineStr">
        <is>
          <t>Victoria Textiles</t>
        </is>
      </c>
      <c r="D2" s="3" t="inlineStr">
        <is>
          <t>27-inch Monitor</t>
        </is>
      </c>
      <c r="E2" s="3" t="inlineStr">
        <is>
          <t>Electronics</t>
        </is>
      </c>
      <c r="F2" s="4" t="n">
        <v>9</v>
      </c>
      <c r="G2" s="5" t="n">
        <v>348.44</v>
      </c>
      <c r="H2" s="6" t="n">
        <v>0.05</v>
      </c>
      <c r="I2" s="6" t="n">
        <v>0.16</v>
      </c>
      <c r="J2" s="3" t="inlineStr">
        <is>
          <t>Brian Mwangi</t>
        </is>
      </c>
      <c r="K2" s="5">
        <f>F2*G2</f>
        <v/>
      </c>
      <c r="L2" s="5">
        <f>K2*H2</f>
        <v/>
      </c>
      <c r="M2" s="5">
        <f>(K2-L2)*I2</f>
        <v/>
      </c>
      <c r="N2" s="5">
        <f>K2-L2+M2</f>
        <v/>
      </c>
    </row>
    <row r="3">
      <c r="A3" s="2" t="n">
        <v>46023</v>
      </c>
      <c r="B3" s="3" t="inlineStr">
        <is>
          <t>INV-202601-0002</t>
        </is>
      </c>
      <c r="C3" s="3" t="inlineStr">
        <is>
          <t>Umoja Sacco</t>
        </is>
      </c>
      <c r="D3" s="3" t="inlineStr">
        <is>
          <t>Desk Organizer</t>
        </is>
      </c>
      <c r="E3" s="3" t="inlineStr">
        <is>
          <t>Stationery</t>
        </is>
      </c>
      <c r="F3" s="4" t="n">
        <v>6</v>
      </c>
      <c r="G3" s="5" t="n">
        <v>15.48</v>
      </c>
      <c r="H3" s="6" t="n">
        <v>0</v>
      </c>
      <c r="I3" s="6" t="n">
        <v>0.08</v>
      </c>
      <c r="J3" s="3" t="inlineStr">
        <is>
          <t>Hassan Ali</t>
        </is>
      </c>
      <c r="K3" s="5">
        <f>F3*G3</f>
        <v/>
      </c>
      <c r="L3" s="5">
        <f>K3*H3</f>
        <v/>
      </c>
      <c r="M3" s="5">
        <f>(K3-L3)*I3</f>
        <v/>
      </c>
      <c r="N3" s="5">
        <f>K3-L3+M3</f>
        <v/>
      </c>
    </row>
    <row r="4">
      <c r="A4" s="2" t="n">
        <v>46023</v>
      </c>
      <c r="B4" s="3" t="inlineStr">
        <is>
          <t>INV-202601-0003</t>
        </is>
      </c>
      <c r="C4" s="3" t="inlineStr">
        <is>
          <t>Ivory Interiors</t>
        </is>
      </c>
      <c r="D4" s="3" t="inlineStr">
        <is>
          <t>Filing Cabinet</t>
        </is>
      </c>
      <c r="E4" s="3" t="inlineStr">
        <is>
          <t>Furniture</t>
        </is>
      </c>
      <c r="F4" s="4" t="n">
        <v>21</v>
      </c>
      <c r="G4" s="5" t="n">
        <v>172.58</v>
      </c>
      <c r="H4" s="6" t="n">
        <v>0</v>
      </c>
      <c r="I4" s="6" t="n">
        <v>0.16</v>
      </c>
      <c r="J4" s="3" t="inlineStr">
        <is>
          <t>Felix Odhiambo</t>
        </is>
      </c>
      <c r="K4" s="5">
        <f>F4*G4</f>
        <v/>
      </c>
      <c r="L4" s="5">
        <f>K4*H4</f>
        <v/>
      </c>
      <c r="M4" s="5">
        <f>(K4-L4)*I4</f>
        <v/>
      </c>
      <c r="N4" s="5">
        <f>K4-L4+M4</f>
        <v/>
      </c>
    </row>
    <row r="5">
      <c r="A5" s="2" t="n">
        <v>46023</v>
      </c>
      <c r="B5" s="3" t="inlineStr">
        <is>
          <t>INV-202601-0004</t>
        </is>
      </c>
      <c r="C5" s="3" t="inlineStr">
        <is>
          <t>Baobab Traders</t>
        </is>
      </c>
      <c r="D5" s="3" t="inlineStr">
        <is>
          <t>Coffee Beans 1kg</t>
        </is>
      </c>
      <c r="E5" s="3" t="inlineStr">
        <is>
          <t>Consumables</t>
        </is>
      </c>
      <c r="F5" s="4" t="n">
        <v>8</v>
      </c>
      <c r="G5" s="5" t="n">
        <v>21.68</v>
      </c>
      <c r="H5" s="6" t="n">
        <v>0.1</v>
      </c>
      <c r="I5" s="6" t="n">
        <v>0</v>
      </c>
      <c r="J5" s="3" t="inlineStr">
        <is>
          <t>Grace Achieng</t>
        </is>
      </c>
      <c r="K5" s="5">
        <f>F5*G5</f>
        <v/>
      </c>
      <c r="L5" s="5">
        <f>K5*H5</f>
        <v/>
      </c>
      <c r="M5" s="5">
        <f>(K5-L5)*I5</f>
        <v/>
      </c>
      <c r="N5" s="5">
        <f>K5-L5+M5</f>
        <v/>
      </c>
    </row>
    <row r="6">
      <c r="A6" s="2" t="n">
        <v>46024</v>
      </c>
      <c r="B6" s="3" t="inlineStr">
        <is>
          <t>INV-202601-0005</t>
        </is>
      </c>
      <c r="C6" s="3" t="inlineStr">
        <is>
          <t>Cedar Hardware</t>
        </is>
      </c>
      <c r="D6" s="3" t="inlineStr">
        <is>
          <t>Ergonomic Chair</t>
        </is>
      </c>
      <c r="E6" s="3" t="inlineStr">
        <is>
          <t>Furniture</t>
        </is>
      </c>
      <c r="F6" s="4" t="n">
        <v>7</v>
      </c>
      <c r="G6" s="5" t="n">
        <v>359.15</v>
      </c>
      <c r="H6" s="6" t="n">
        <v>0.05</v>
      </c>
      <c r="I6" s="6" t="n">
        <v>0.16</v>
      </c>
      <c r="J6" s="3" t="inlineStr">
        <is>
          <t>Felix Odhiambo</t>
        </is>
      </c>
      <c r="K6" s="5">
        <f>F6*G6</f>
        <v/>
      </c>
      <c r="L6" s="5">
        <f>K6*H6</f>
        <v/>
      </c>
      <c r="M6" s="5">
        <f>(K6-L6)*I6</f>
        <v/>
      </c>
      <c r="N6" s="5">
        <f>K6-L6+M6</f>
        <v/>
      </c>
    </row>
    <row r="7">
      <c r="A7" s="2" t="n">
        <v>46024</v>
      </c>
      <c r="B7" s="3" t="inlineStr">
        <is>
          <t>INV-202601-0006</t>
        </is>
      </c>
      <c r="C7" s="3" t="inlineStr">
        <is>
          <t>Umoja Sacco</t>
        </is>
      </c>
      <c r="D7" s="3" t="inlineStr">
        <is>
          <t>27-inch Monitor</t>
        </is>
      </c>
      <c r="E7" s="3" t="inlineStr">
        <is>
          <t>Electronics</t>
        </is>
      </c>
      <c r="F7" s="4" t="n">
        <v>16</v>
      </c>
      <c r="G7" s="5" t="n">
        <v>274.95</v>
      </c>
      <c r="H7" s="6" t="n">
        <v>0.15</v>
      </c>
      <c r="I7" s="6" t="n">
        <v>0.16</v>
      </c>
      <c r="J7" s="3" t="inlineStr">
        <is>
          <t>Hassan Ali</t>
        </is>
      </c>
      <c r="K7" s="5">
        <f>F7*G7</f>
        <v/>
      </c>
      <c r="L7" s="5">
        <f>K7*H7</f>
        <v/>
      </c>
      <c r="M7" s="5">
        <f>(K7-L7)*I7</f>
        <v/>
      </c>
      <c r="N7" s="5">
        <f>K7-L7+M7</f>
        <v/>
      </c>
    </row>
    <row r="8">
      <c r="A8" s="2" t="n">
        <v>46024</v>
      </c>
      <c r="B8" s="3" t="inlineStr">
        <is>
          <t>INV-202601-0007</t>
        </is>
      </c>
      <c r="C8" s="3" t="inlineStr">
        <is>
          <t>Ivory Interiors</t>
        </is>
      </c>
      <c r="D8" s="3" t="inlineStr">
        <is>
          <t>Mechanical Keyboard</t>
        </is>
      </c>
      <c r="E8" s="3" t="inlineStr">
        <is>
          <t>Electronics</t>
        </is>
      </c>
      <c r="F8" s="4" t="n">
        <v>5</v>
      </c>
      <c r="G8" s="5" t="n">
        <v>65.95999999999999</v>
      </c>
      <c r="H8" s="6" t="n">
        <v>0.05</v>
      </c>
      <c r="I8" s="6" t="n">
        <v>0.16</v>
      </c>
      <c r="J8" s="3" t="inlineStr">
        <is>
          <t>Esther Wanjiru</t>
        </is>
      </c>
      <c r="K8" s="5">
        <f>F8*G8</f>
        <v/>
      </c>
      <c r="L8" s="5">
        <f>K8*H8</f>
        <v/>
      </c>
      <c r="M8" s="5">
        <f>(K8-L8)*I8</f>
        <v/>
      </c>
      <c r="N8" s="5">
        <f>K8-L8+M8</f>
        <v/>
      </c>
    </row>
    <row r="9">
      <c r="A9" s="2" t="n">
        <v>46025</v>
      </c>
      <c r="B9" s="3" t="inlineStr">
        <is>
          <t>INV-202601-0008</t>
        </is>
      </c>
      <c r="C9" s="3" t="inlineStr">
        <is>
          <t>Savanna Bookshop</t>
        </is>
      </c>
      <c r="D9" s="3" t="inlineStr">
        <is>
          <t>Laser Printer</t>
        </is>
      </c>
      <c r="E9" s="3" t="inlineStr">
        <is>
          <t>Electronics</t>
        </is>
      </c>
      <c r="F9" s="4" t="n">
        <v>14</v>
      </c>
      <c r="G9" s="5" t="n">
        <v>488.33</v>
      </c>
      <c r="H9" s="6" t="n">
        <v>0</v>
      </c>
      <c r="I9" s="6" t="n">
        <v>0.16</v>
      </c>
      <c r="J9" s="3" t="inlineStr">
        <is>
          <t>David Kamau</t>
        </is>
      </c>
      <c r="K9" s="5">
        <f>F9*G9</f>
        <v/>
      </c>
      <c r="L9" s="5">
        <f>K9*H9</f>
        <v/>
      </c>
      <c r="M9" s="5">
        <f>(K9-L9)*I9</f>
        <v/>
      </c>
      <c r="N9" s="5">
        <f>K9-L9+M9</f>
        <v/>
      </c>
    </row>
    <row r="10">
      <c r="A10" s="2" t="n">
        <v>46025</v>
      </c>
      <c r="B10" s="3" t="inlineStr">
        <is>
          <t>INV-202601-0009</t>
        </is>
      </c>
      <c r="C10" s="3" t="inlineStr">
        <is>
          <t>Quarry Construction</t>
        </is>
      </c>
      <c r="D10" s="3" t="inlineStr">
        <is>
          <t>Mechanical Keyboard</t>
        </is>
      </c>
      <c r="E10" s="3" t="inlineStr">
        <is>
          <t>Electronics</t>
        </is>
      </c>
      <c r="F10" s="4" t="n">
        <v>16</v>
      </c>
      <c r="G10" s="5" t="n">
        <v>52.73</v>
      </c>
      <c r="H10" s="6" t="n">
        <v>0</v>
      </c>
      <c r="I10" s="6" t="n">
        <v>0.16</v>
      </c>
      <c r="J10" s="3" t="inlineStr">
        <is>
          <t>Brian Mwangi</t>
        </is>
      </c>
      <c r="K10" s="5">
        <f>F10*G10</f>
        <v/>
      </c>
      <c r="L10" s="5">
        <f>K10*H10</f>
        <v/>
      </c>
      <c r="M10" s="5">
        <f>(K10-L10)*I10</f>
        <v/>
      </c>
      <c r="N10" s="5">
        <f>K10-L10+M10</f>
        <v/>
      </c>
    </row>
    <row r="11">
      <c r="A11" s="2" t="n">
        <v>46025</v>
      </c>
      <c r="B11" s="3" t="inlineStr">
        <is>
          <t>INV-202601-0010</t>
        </is>
      </c>
      <c r="C11" s="3" t="inlineStr">
        <is>
          <t>Umoja Sacco</t>
        </is>
      </c>
      <c r="D11" s="3" t="inlineStr">
        <is>
          <t>Mechanical Keyboard</t>
        </is>
      </c>
      <c r="E11" s="3" t="inlineStr">
        <is>
          <t>Electronics</t>
        </is>
      </c>
      <c r="F11" s="4" t="n">
        <v>6</v>
      </c>
      <c r="G11" s="5" t="n">
        <v>112.33</v>
      </c>
      <c r="H11" s="6" t="n">
        <v>0</v>
      </c>
      <c r="I11" s="6" t="n">
        <v>0.16</v>
      </c>
      <c r="J11" s="3" t="inlineStr">
        <is>
          <t>Brian Mwangi</t>
        </is>
      </c>
      <c r="K11" s="5">
        <f>F11*G11</f>
        <v/>
      </c>
      <c r="L11" s="5">
        <f>K11*H11</f>
        <v/>
      </c>
      <c r="M11" s="5">
        <f>(K11-L11)*I11</f>
        <v/>
      </c>
      <c r="N11" s="5">
        <f>K11-L11+M11</f>
        <v/>
      </c>
    </row>
    <row r="12">
      <c r="A12" s="2" t="n">
        <v>46025</v>
      </c>
      <c r="B12" s="3" t="inlineStr">
        <is>
          <t>INV-202601-0011</t>
        </is>
      </c>
      <c r="C12" s="3" t="inlineStr">
        <is>
          <t>Mara Safari Outfitters</t>
        </is>
      </c>
      <c r="D12" s="3" t="inlineStr">
        <is>
          <t>Filing Cabinet</t>
        </is>
      </c>
      <c r="E12" s="3" t="inlineStr">
        <is>
          <t>Furniture</t>
        </is>
      </c>
      <c r="F12" s="4" t="n">
        <v>20</v>
      </c>
      <c r="G12" s="5" t="n">
        <v>209.53</v>
      </c>
      <c r="H12" s="6" t="n">
        <v>0.05</v>
      </c>
      <c r="I12" s="6" t="n">
        <v>0.16</v>
      </c>
      <c r="J12" s="3" t="inlineStr">
        <is>
          <t>Amina Otieno</t>
        </is>
      </c>
      <c r="K12" s="5">
        <f>F12*G12</f>
        <v/>
      </c>
      <c r="L12" s="5">
        <f>K12*H12</f>
        <v/>
      </c>
      <c r="M12" s="5">
        <f>(K12-L12)*I12</f>
        <v/>
      </c>
      <c r="N12" s="5">
        <f>K12-L12+M12</f>
        <v/>
      </c>
    </row>
    <row r="13">
      <c r="A13" s="2" t="n">
        <v>46025</v>
      </c>
      <c r="B13" s="3" t="inlineStr">
        <is>
          <t>INV-202601-0012</t>
        </is>
      </c>
      <c r="C13" s="3" t="inlineStr">
        <is>
          <t>Zebra Print Studio</t>
        </is>
      </c>
      <c r="D13" s="3" t="inlineStr">
        <is>
          <t>Whiteboard Markers</t>
        </is>
      </c>
      <c r="E13" s="3" t="inlineStr">
        <is>
          <t>Stationery</t>
        </is>
      </c>
      <c r="F13" s="4" t="n">
        <v>4</v>
      </c>
      <c r="G13" s="5" t="n">
        <v>9.77</v>
      </c>
      <c r="H13" s="6" t="n">
        <v>0.05</v>
      </c>
      <c r="I13" s="6" t="n">
        <v>0.08</v>
      </c>
      <c r="J13" s="3" t="inlineStr">
        <is>
          <t>Esther Wanjiru</t>
        </is>
      </c>
      <c r="K13" s="5">
        <f>F13*G13</f>
        <v/>
      </c>
      <c r="L13" s="5">
        <f>K13*H13</f>
        <v/>
      </c>
      <c r="M13" s="5">
        <f>(K13-L13)*I13</f>
        <v/>
      </c>
      <c r="N13" s="5">
        <f>K13-L13+M13</f>
        <v/>
      </c>
    </row>
    <row r="14">
      <c r="A14" s="2" t="n">
        <v>46025</v>
      </c>
      <c r="B14" s="3" t="inlineStr">
        <is>
          <t>INV-202601-0013</t>
        </is>
      </c>
      <c r="C14" s="3" t="inlineStr">
        <is>
          <t>Umoja Sacco</t>
        </is>
      </c>
      <c r="D14" s="3" t="inlineStr">
        <is>
          <t>Printer Toner</t>
        </is>
      </c>
      <c r="E14" s="3" t="inlineStr">
        <is>
          <t>Consumables</t>
        </is>
      </c>
      <c r="F14" s="4" t="n">
        <v>11</v>
      </c>
      <c r="G14" s="5" t="n">
        <v>44.36</v>
      </c>
      <c r="H14" s="6" t="n">
        <v>0</v>
      </c>
      <c r="I14" s="6" t="n">
        <v>0</v>
      </c>
      <c r="J14" s="3" t="inlineStr">
        <is>
          <t>Hassan Ali</t>
        </is>
      </c>
      <c r="K14" s="5">
        <f>F14*G14</f>
        <v/>
      </c>
      <c r="L14" s="5">
        <f>K14*H14</f>
        <v/>
      </c>
      <c r="M14" s="5">
        <f>(K14-L14)*I14</f>
        <v/>
      </c>
      <c r="N14" s="5">
        <f>K14-L14+M14</f>
        <v/>
      </c>
    </row>
    <row r="15">
      <c r="A15" s="2" t="n">
        <v>46026</v>
      </c>
      <c r="B15" s="3" t="inlineStr">
        <is>
          <t>INV-202601-0014</t>
        </is>
      </c>
      <c r="C15" s="3" t="inlineStr">
        <is>
          <t>Zebra Print Studio</t>
        </is>
      </c>
      <c r="D15" s="3" t="inlineStr">
        <is>
          <t>Laptop Pro 15</t>
        </is>
      </c>
      <c r="E15" s="3" t="inlineStr">
        <is>
          <t>Electronics</t>
        </is>
      </c>
      <c r="F15" s="4" t="n">
        <v>24</v>
      </c>
      <c r="G15" s="5" t="n">
        <v>903.79</v>
      </c>
      <c r="H15" s="6" t="n">
        <v>0.05</v>
      </c>
      <c r="I15" s="6" t="n">
        <v>0.16</v>
      </c>
      <c r="J15" s="3" t="inlineStr">
        <is>
          <t>Carol Njeri</t>
        </is>
      </c>
      <c r="K15" s="5">
        <f>F15*G15</f>
        <v/>
      </c>
      <c r="L15" s="5">
        <f>K15*H15</f>
        <v/>
      </c>
      <c r="M15" s="5">
        <f>(K15-L15)*I15</f>
        <v/>
      </c>
      <c r="N15" s="5">
        <f>K15-L15+M15</f>
        <v/>
      </c>
    </row>
    <row r="16">
      <c r="A16" s="2" t="n">
        <v>46026</v>
      </c>
      <c r="B16" s="3" t="inlineStr">
        <is>
          <t>INV-202601-0015</t>
        </is>
      </c>
      <c r="C16" s="3" t="inlineStr">
        <is>
          <t>Delta Office Supplies</t>
        </is>
      </c>
      <c r="D16" s="3" t="inlineStr">
        <is>
          <t>Ballpoint Pens (Box)</t>
        </is>
      </c>
      <c r="E16" s="3" t="inlineStr">
        <is>
          <t>Stationery</t>
        </is>
      </c>
      <c r="F16" s="4" t="n">
        <v>21</v>
      </c>
      <c r="G16" s="5" t="n">
        <v>5.49</v>
      </c>
      <c r="H16" s="6" t="n">
        <v>0.05</v>
      </c>
      <c r="I16" s="6" t="n">
        <v>0.08</v>
      </c>
      <c r="J16" s="3" t="inlineStr">
        <is>
          <t>David Kamau</t>
        </is>
      </c>
      <c r="K16" s="5">
        <f>F16*G16</f>
        <v/>
      </c>
      <c r="L16" s="5">
        <f>K16*H16</f>
        <v/>
      </c>
      <c r="M16" s="5">
        <f>(K16-L16)*I16</f>
        <v/>
      </c>
      <c r="N16" s="5">
        <f>K16-L16+M16</f>
        <v/>
      </c>
    </row>
    <row r="17">
      <c r="A17" s="2" t="n">
        <v>46026</v>
      </c>
      <c r="B17" s="3" t="inlineStr">
        <is>
          <t>INV-202601-0016</t>
        </is>
      </c>
      <c r="C17" s="3" t="inlineStr">
        <is>
          <t>Lakeview Pharmacy</t>
        </is>
      </c>
      <c r="D17" s="3" t="inlineStr">
        <is>
          <t>Mechanical Keyboard</t>
        </is>
      </c>
      <c r="E17" s="3" t="inlineStr">
        <is>
          <t>Electronics</t>
        </is>
      </c>
      <c r="F17" s="4" t="n">
        <v>25</v>
      </c>
      <c r="G17" s="5" t="n">
        <v>58.73</v>
      </c>
      <c r="H17" s="6" t="n">
        <v>0.15</v>
      </c>
      <c r="I17" s="6" t="n">
        <v>0.16</v>
      </c>
      <c r="J17" s="3" t="inlineStr">
        <is>
          <t>Amina Otieno</t>
        </is>
      </c>
      <c r="K17" s="5">
        <f>F17*G17</f>
        <v/>
      </c>
      <c r="L17" s="5">
        <f>K17*H17</f>
        <v/>
      </c>
      <c r="M17" s="5">
        <f>(K17-L17)*I17</f>
        <v/>
      </c>
      <c r="N17" s="5">
        <f>K17-L17+M17</f>
        <v/>
      </c>
    </row>
    <row r="18">
      <c r="A18" s="2" t="n">
        <v>46026</v>
      </c>
      <c r="B18" s="3" t="inlineStr">
        <is>
          <t>INV-202601-0017</t>
        </is>
      </c>
      <c r="C18" s="3" t="inlineStr">
        <is>
          <t>Kilimani Tech Hub</t>
        </is>
      </c>
      <c r="D18" s="3" t="inlineStr">
        <is>
          <t>Desk Organizer</t>
        </is>
      </c>
      <c r="E18" s="3" t="inlineStr">
        <is>
          <t>Stationery</t>
        </is>
      </c>
      <c r="F18" s="4" t="n">
        <v>16</v>
      </c>
      <c r="G18" s="5" t="n">
        <v>8.27</v>
      </c>
      <c r="H18" s="6" t="n">
        <v>0.15</v>
      </c>
      <c r="I18" s="6" t="n">
        <v>0.08</v>
      </c>
      <c r="J18" s="3" t="inlineStr">
        <is>
          <t>Esther Wanjiru</t>
        </is>
      </c>
      <c r="K18" s="5">
        <f>F18*G18</f>
        <v/>
      </c>
      <c r="L18" s="5">
        <f>K18*H18</f>
        <v/>
      </c>
      <c r="M18" s="5">
        <f>(K18-L18)*I18</f>
        <v/>
      </c>
      <c r="N18" s="5">
        <f>K18-L18+M18</f>
        <v/>
      </c>
    </row>
    <row r="19">
      <c r="A19" s="2" t="n">
        <v>46026</v>
      </c>
      <c r="B19" s="3" t="inlineStr">
        <is>
          <t>INV-202601-0018</t>
        </is>
      </c>
      <c r="C19" s="3" t="inlineStr">
        <is>
          <t>Baobab Traders</t>
        </is>
      </c>
      <c r="D19" s="3" t="inlineStr">
        <is>
          <t>27-inch Monitor</t>
        </is>
      </c>
      <c r="E19" s="3" t="inlineStr">
        <is>
          <t>Electronics</t>
        </is>
      </c>
      <c r="F19" s="4" t="n">
        <v>8</v>
      </c>
      <c r="G19" s="5" t="n">
        <v>390.72</v>
      </c>
      <c r="H19" s="6" t="n">
        <v>0.15</v>
      </c>
      <c r="I19" s="6" t="n">
        <v>0.16</v>
      </c>
      <c r="J19" s="3" t="inlineStr">
        <is>
          <t>Brian Mwangi</t>
        </is>
      </c>
      <c r="K19" s="5">
        <f>F19*G19</f>
        <v/>
      </c>
      <c r="L19" s="5">
        <f>K19*H19</f>
        <v/>
      </c>
      <c r="M19" s="5">
        <f>(K19-L19)*I19</f>
        <v/>
      </c>
      <c r="N19" s="5">
        <f>K19-L19+M19</f>
        <v/>
      </c>
    </row>
    <row r="20">
      <c r="A20" s="2" t="n">
        <v>46026</v>
      </c>
      <c r="B20" s="3" t="inlineStr">
        <is>
          <t>INV-202601-0019</t>
        </is>
      </c>
      <c r="C20" s="3" t="inlineStr">
        <is>
          <t>Pioneer Motors</t>
        </is>
      </c>
      <c r="D20" s="3" t="inlineStr">
        <is>
          <t>Laser Printer</t>
        </is>
      </c>
      <c r="E20" s="3" t="inlineStr">
        <is>
          <t>Electronics</t>
        </is>
      </c>
      <c r="F20" s="4" t="n">
        <v>3</v>
      </c>
      <c r="G20" s="5" t="n">
        <v>513.1799999999999</v>
      </c>
      <c r="H20" s="6" t="n">
        <v>0.05</v>
      </c>
      <c r="I20" s="6" t="n">
        <v>0.16</v>
      </c>
      <c r="J20" s="3" t="inlineStr">
        <is>
          <t>Carol Njeri</t>
        </is>
      </c>
      <c r="K20" s="5">
        <f>F20*G20</f>
        <v/>
      </c>
      <c r="L20" s="5">
        <f>K20*H20</f>
        <v/>
      </c>
      <c r="M20" s="5">
        <f>(K20-L20)*I20</f>
        <v/>
      </c>
      <c r="N20" s="5">
        <f>K20-L20+M20</f>
        <v/>
      </c>
    </row>
    <row r="21">
      <c r="A21" s="2" t="n">
        <v>46027</v>
      </c>
      <c r="B21" s="3" t="inlineStr">
        <is>
          <t>INV-202601-0020</t>
        </is>
      </c>
      <c r="C21" s="3" t="inlineStr">
        <is>
          <t>Victoria Textiles</t>
        </is>
      </c>
      <c r="D21" s="3" t="inlineStr">
        <is>
          <t>Mechanical Keyboard</t>
        </is>
      </c>
      <c r="E21" s="3" t="inlineStr">
        <is>
          <t>Electronics</t>
        </is>
      </c>
      <c r="F21" s="4" t="n">
        <v>16</v>
      </c>
      <c r="G21" s="5" t="n">
        <v>125.48</v>
      </c>
      <c r="H21" s="6" t="n">
        <v>0</v>
      </c>
      <c r="I21" s="6" t="n">
        <v>0.16</v>
      </c>
      <c r="J21" s="3" t="inlineStr">
        <is>
          <t>Grace Achieng</t>
        </is>
      </c>
      <c r="K21" s="5">
        <f>F21*G21</f>
        <v/>
      </c>
      <c r="L21" s="5">
        <f>K21*H21</f>
        <v/>
      </c>
      <c r="M21" s="5">
        <f>(K21-L21)*I21</f>
        <v/>
      </c>
      <c r="N21" s="5">
        <f>K21-L21+M21</f>
        <v/>
      </c>
    </row>
    <row r="22">
      <c r="A22" s="2" t="n">
        <v>46027</v>
      </c>
      <c r="B22" s="3" t="inlineStr">
        <is>
          <t>INV-202601-0021</t>
        </is>
      </c>
      <c r="C22" s="3" t="inlineStr">
        <is>
          <t>Rift Valley Farms</t>
        </is>
      </c>
      <c r="D22" s="3" t="inlineStr">
        <is>
          <t>27-inch Monitor</t>
        </is>
      </c>
      <c r="E22" s="3" t="inlineStr">
        <is>
          <t>Electronics</t>
        </is>
      </c>
      <c r="F22" s="4" t="n">
        <v>25</v>
      </c>
      <c r="G22" s="5" t="n">
        <v>355.18</v>
      </c>
      <c r="H22" s="6" t="n">
        <v>0</v>
      </c>
      <c r="I22" s="6" t="n">
        <v>0.16</v>
      </c>
      <c r="J22" s="3" t="inlineStr">
        <is>
          <t>Esther Wanjiru</t>
        </is>
      </c>
      <c r="K22" s="5">
        <f>F22*G22</f>
        <v/>
      </c>
      <c r="L22" s="5">
        <f>K22*H22</f>
        <v/>
      </c>
      <c r="M22" s="5">
        <f>(K22-L22)*I22</f>
        <v/>
      </c>
      <c r="N22" s="5">
        <f>K22-L22+M22</f>
        <v/>
      </c>
    </row>
    <row r="23">
      <c r="A23" s="2" t="n">
        <v>46028</v>
      </c>
      <c r="B23" s="3" t="inlineStr">
        <is>
          <t>INV-202601-0022</t>
        </is>
      </c>
      <c r="C23" s="3" t="inlineStr">
        <is>
          <t>Victoria Textiles</t>
        </is>
      </c>
      <c r="D23" s="3" t="inlineStr">
        <is>
          <t>Filing Cabinet</t>
        </is>
      </c>
      <c r="E23" s="3" t="inlineStr">
        <is>
          <t>Furniture</t>
        </is>
      </c>
      <c r="F23" s="4" t="n">
        <v>21</v>
      </c>
      <c r="G23" s="5" t="n">
        <v>134.81</v>
      </c>
      <c r="H23" s="6" t="n">
        <v>0.1</v>
      </c>
      <c r="I23" s="6" t="n">
        <v>0.16</v>
      </c>
      <c r="J23" s="3" t="inlineStr">
        <is>
          <t>Hassan Ali</t>
        </is>
      </c>
      <c r="K23" s="5">
        <f>F23*G23</f>
        <v/>
      </c>
      <c r="L23" s="5">
        <f>K23*H23</f>
        <v/>
      </c>
      <c r="M23" s="5">
        <f>(K23-L23)*I23</f>
        <v/>
      </c>
      <c r="N23" s="5">
        <f>K23-L23+M23</f>
        <v/>
      </c>
    </row>
    <row r="24">
      <c r="A24" s="2" t="n">
        <v>46028</v>
      </c>
      <c r="B24" s="3" t="inlineStr">
        <is>
          <t>INV-202601-0023</t>
        </is>
      </c>
      <c r="C24" s="3" t="inlineStr">
        <is>
          <t>Highland Clinic</t>
        </is>
      </c>
      <c r="D24" s="3" t="inlineStr">
        <is>
          <t>Wireless Mouse</t>
        </is>
      </c>
      <c r="E24" s="3" t="inlineStr">
        <is>
          <t>Electronics</t>
        </is>
      </c>
      <c r="F24" s="4" t="n">
        <v>8</v>
      </c>
      <c r="G24" s="5" t="n">
        <v>13.47</v>
      </c>
      <c r="H24" s="6" t="n">
        <v>0</v>
      </c>
      <c r="I24" s="6" t="n">
        <v>0.16</v>
      </c>
      <c r="J24" s="3" t="inlineStr">
        <is>
          <t>David Kamau</t>
        </is>
      </c>
      <c r="K24" s="5">
        <f>F24*G24</f>
        <v/>
      </c>
      <c r="L24" s="5">
        <f>K24*H24</f>
        <v/>
      </c>
      <c r="M24" s="5">
        <f>(K24-L24)*I24</f>
        <v/>
      </c>
      <c r="N24" s="5">
        <f>K24-L24+M24</f>
        <v/>
      </c>
    </row>
    <row r="25">
      <c r="A25" s="2" t="n">
        <v>46029</v>
      </c>
      <c r="B25" s="3" t="inlineStr">
        <is>
          <t>INV-202601-0024</t>
        </is>
      </c>
      <c r="C25" s="3" t="inlineStr">
        <is>
          <t>Highland Clinic</t>
        </is>
      </c>
      <c r="D25" s="3" t="inlineStr">
        <is>
          <t>Desk Organizer</t>
        </is>
      </c>
      <c r="E25" s="3" t="inlineStr">
        <is>
          <t>Stationery</t>
        </is>
      </c>
      <c r="F25" s="4" t="n">
        <v>1</v>
      </c>
      <c r="G25" s="5" t="n">
        <v>8.99</v>
      </c>
      <c r="H25" s="6" t="n">
        <v>0.05</v>
      </c>
      <c r="I25" s="6" t="n">
        <v>0.08</v>
      </c>
      <c r="J25" s="3" t="inlineStr">
        <is>
          <t>David Kamau</t>
        </is>
      </c>
      <c r="K25" s="5">
        <f>F25*G25</f>
        <v/>
      </c>
      <c r="L25" s="5">
        <f>K25*H25</f>
        <v/>
      </c>
      <c r="M25" s="5">
        <f>(K25-L25)*I25</f>
        <v/>
      </c>
      <c r="N25" s="5">
        <f>K25-L25+M25</f>
        <v/>
      </c>
    </row>
    <row r="26">
      <c r="A26" s="2" t="n">
        <v>46029</v>
      </c>
      <c r="B26" s="3" t="inlineStr">
        <is>
          <t>INV-202601-0025</t>
        </is>
      </c>
      <c r="C26" s="3" t="inlineStr">
        <is>
          <t>Baobab Traders</t>
        </is>
      </c>
      <c r="D26" s="3" t="inlineStr">
        <is>
          <t>Wireless Mouse</t>
        </is>
      </c>
      <c r="E26" s="3" t="inlineStr">
        <is>
          <t>Electronics</t>
        </is>
      </c>
      <c r="F26" s="4" t="n">
        <v>11</v>
      </c>
      <c r="G26" s="5" t="n">
        <v>13.63</v>
      </c>
      <c r="H26" s="6" t="n">
        <v>0</v>
      </c>
      <c r="I26" s="6" t="n">
        <v>0.16</v>
      </c>
      <c r="J26" s="3" t="inlineStr">
        <is>
          <t>Hassan Ali</t>
        </is>
      </c>
      <c r="K26" s="5">
        <f>F26*G26</f>
        <v/>
      </c>
      <c r="L26" s="5">
        <f>K26*H26</f>
        <v/>
      </c>
      <c r="M26" s="5">
        <f>(K26-L26)*I26</f>
        <v/>
      </c>
      <c r="N26" s="5">
        <f>K26-L26+M26</f>
        <v/>
      </c>
    </row>
    <row r="27">
      <c r="A27" s="2" t="n">
        <v>46029</v>
      </c>
      <c r="B27" s="3" t="inlineStr">
        <is>
          <t>INV-202601-0026</t>
        </is>
      </c>
      <c r="C27" s="3" t="inlineStr">
        <is>
          <t>Rift Valley Farms</t>
        </is>
      </c>
      <c r="D27" s="3" t="inlineStr">
        <is>
          <t>27-inch Monitor</t>
        </is>
      </c>
      <c r="E27" s="3" t="inlineStr">
        <is>
          <t>Electronics</t>
        </is>
      </c>
      <c r="F27" s="4" t="n">
        <v>5</v>
      </c>
      <c r="G27" s="5" t="n">
        <v>353.6</v>
      </c>
      <c r="H27" s="6" t="n">
        <v>0.1</v>
      </c>
      <c r="I27" s="6" t="n">
        <v>0.16</v>
      </c>
      <c r="J27" s="3" t="inlineStr">
        <is>
          <t>Hassan Ali</t>
        </is>
      </c>
      <c r="K27" s="5">
        <f>F27*G27</f>
        <v/>
      </c>
      <c r="L27" s="5">
        <f>K27*H27</f>
        <v/>
      </c>
      <c r="M27" s="5">
        <f>(K27-L27)*I27</f>
        <v/>
      </c>
      <c r="N27" s="5">
        <f>K27-L27+M27</f>
        <v/>
      </c>
    </row>
    <row r="28">
      <c r="A28" s="2" t="n">
        <v>46029</v>
      </c>
      <c r="B28" s="3" t="inlineStr">
        <is>
          <t>INV-202601-0027</t>
        </is>
      </c>
      <c r="C28" s="3" t="inlineStr">
        <is>
          <t>Pioneer Motors</t>
        </is>
      </c>
      <c r="D28" s="3" t="inlineStr">
        <is>
          <t>27-inch Monitor</t>
        </is>
      </c>
      <c r="E28" s="3" t="inlineStr">
        <is>
          <t>Electronics</t>
        </is>
      </c>
      <c r="F28" s="4" t="n">
        <v>14</v>
      </c>
      <c r="G28" s="5" t="n">
        <v>225.7</v>
      </c>
      <c r="H28" s="6" t="n">
        <v>0</v>
      </c>
      <c r="I28" s="6" t="n">
        <v>0.16</v>
      </c>
      <c r="J28" s="3" t="inlineStr">
        <is>
          <t>Grace Achieng</t>
        </is>
      </c>
      <c r="K28" s="5">
        <f>F28*G28</f>
        <v/>
      </c>
      <c r="L28" s="5">
        <f>K28*H28</f>
        <v/>
      </c>
      <c r="M28" s="5">
        <f>(K28-L28)*I28</f>
        <v/>
      </c>
      <c r="N28" s="5">
        <f>K28-L28+M28</f>
        <v/>
      </c>
    </row>
    <row r="29">
      <c r="A29" s="2" t="n">
        <v>46030</v>
      </c>
      <c r="B29" s="3" t="inlineStr">
        <is>
          <t>INV-202601-0028</t>
        </is>
      </c>
      <c r="C29" s="3" t="inlineStr">
        <is>
          <t>Nile Stationers</t>
        </is>
      </c>
      <c r="D29" s="3" t="inlineStr">
        <is>
          <t>Standing Desk</t>
        </is>
      </c>
      <c r="E29" s="3" t="inlineStr">
        <is>
          <t>Furniture</t>
        </is>
      </c>
      <c r="F29" s="4" t="n">
        <v>14</v>
      </c>
      <c r="G29" s="5" t="n">
        <v>437.47</v>
      </c>
      <c r="H29" s="6" t="n">
        <v>0.05</v>
      </c>
      <c r="I29" s="6" t="n">
        <v>0.16</v>
      </c>
      <c r="J29" s="3" t="inlineStr">
        <is>
          <t>Brian Mwangi</t>
        </is>
      </c>
      <c r="K29" s="5">
        <f>F29*G29</f>
        <v/>
      </c>
      <c r="L29" s="5">
        <f>K29*H29</f>
        <v/>
      </c>
      <c r="M29" s="5">
        <f>(K29-L29)*I29</f>
        <v/>
      </c>
      <c r="N29" s="5">
        <f>K29-L29+M29</f>
        <v/>
      </c>
    </row>
    <row r="30">
      <c r="A30" s="2" t="n">
        <v>46030</v>
      </c>
      <c r="B30" s="3" t="inlineStr">
        <is>
          <t>INV-202601-0029</t>
        </is>
      </c>
      <c r="C30" s="3" t="inlineStr">
        <is>
          <t>Mara Safari Outfitters</t>
        </is>
      </c>
      <c r="D30" s="3" t="inlineStr">
        <is>
          <t>Laptop Pro 15</t>
        </is>
      </c>
      <c r="E30" s="3" t="inlineStr">
        <is>
          <t>Electronics</t>
        </is>
      </c>
      <c r="F30" s="4" t="n">
        <v>24</v>
      </c>
      <c r="G30" s="5" t="n">
        <v>939.47</v>
      </c>
      <c r="H30" s="6" t="n">
        <v>0.1</v>
      </c>
      <c r="I30" s="6" t="n">
        <v>0.16</v>
      </c>
      <c r="J30" s="3" t="inlineStr">
        <is>
          <t>David Kamau</t>
        </is>
      </c>
      <c r="K30" s="5">
        <f>F30*G30</f>
        <v/>
      </c>
      <c r="L30" s="5">
        <f>K30*H30</f>
        <v/>
      </c>
      <c r="M30" s="5">
        <f>(K30-L30)*I30</f>
        <v/>
      </c>
      <c r="N30" s="5">
        <f>K30-L30+M30</f>
        <v/>
      </c>
    </row>
    <row r="31">
      <c r="A31" s="2" t="n">
        <v>46030</v>
      </c>
      <c r="B31" s="3" t="inlineStr">
        <is>
          <t>INV-202601-0030</t>
        </is>
      </c>
      <c r="C31" s="3" t="inlineStr">
        <is>
          <t>Green Valley Schools</t>
        </is>
      </c>
      <c r="D31" s="3" t="inlineStr">
        <is>
          <t>27-inch Monitor</t>
        </is>
      </c>
      <c r="E31" s="3" t="inlineStr">
        <is>
          <t>Electronics</t>
        </is>
      </c>
      <c r="F31" s="4" t="n">
        <v>18</v>
      </c>
      <c r="G31" s="5" t="n">
        <v>287.67</v>
      </c>
      <c r="H31" s="6" t="n">
        <v>0</v>
      </c>
      <c r="I31" s="6" t="n">
        <v>0.16</v>
      </c>
      <c r="J31" s="3" t="inlineStr">
        <is>
          <t>Esther Wanjiru</t>
        </is>
      </c>
      <c r="K31" s="5">
        <f>F31*G31</f>
        <v/>
      </c>
      <c r="L31" s="5">
        <f>K31*H31</f>
        <v/>
      </c>
      <c r="M31" s="5">
        <f>(K31-L31)*I31</f>
        <v/>
      </c>
      <c r="N31" s="5">
        <f>K31-L31+M31</f>
        <v/>
      </c>
    </row>
    <row r="32">
      <c r="A32" s="2" t="n">
        <v>46030</v>
      </c>
      <c r="B32" s="3" t="inlineStr">
        <is>
          <t>INV-202601-0031</t>
        </is>
      </c>
      <c r="C32" s="3" t="inlineStr">
        <is>
          <t>Highland Clinic</t>
        </is>
      </c>
      <c r="D32" s="3" t="inlineStr">
        <is>
          <t>A4 Paper Ream</t>
        </is>
      </c>
      <c r="E32" s="3" t="inlineStr">
        <is>
          <t>Stationery</t>
        </is>
      </c>
      <c r="F32" s="4" t="n">
        <v>3</v>
      </c>
      <c r="G32" s="5" t="n">
        <v>4.83</v>
      </c>
      <c r="H32" s="6" t="n">
        <v>0.1</v>
      </c>
      <c r="I32" s="6" t="n">
        <v>0.08</v>
      </c>
      <c r="J32" s="3" t="inlineStr">
        <is>
          <t>Brian Mwangi</t>
        </is>
      </c>
      <c r="K32" s="5">
        <f>F32*G32</f>
        <v/>
      </c>
      <c r="L32" s="5">
        <f>K32*H32</f>
        <v/>
      </c>
      <c r="M32" s="5">
        <f>(K32-L32)*I32</f>
        <v/>
      </c>
      <c r="N32" s="5">
        <f>K32-L32+M32</f>
        <v/>
      </c>
    </row>
    <row r="33">
      <c r="A33" s="2" t="n">
        <v>46030</v>
      </c>
      <c r="B33" s="3" t="inlineStr">
        <is>
          <t>INV-202601-0032</t>
        </is>
      </c>
      <c r="C33" s="3" t="inlineStr">
        <is>
          <t>Umoja Sacco</t>
        </is>
      </c>
      <c r="D33" s="3" t="inlineStr">
        <is>
          <t>Laptop Pro 15</t>
        </is>
      </c>
      <c r="E33" s="3" t="inlineStr">
        <is>
          <t>Electronics</t>
        </is>
      </c>
      <c r="F33" s="4" t="n">
        <v>18</v>
      </c>
      <c r="G33" s="5" t="n">
        <v>1172.93</v>
      </c>
      <c r="H33" s="6" t="n">
        <v>0.15</v>
      </c>
      <c r="I33" s="6" t="n">
        <v>0.16</v>
      </c>
      <c r="J33" s="3" t="inlineStr">
        <is>
          <t>David Kamau</t>
        </is>
      </c>
      <c r="K33" s="5">
        <f>F33*G33</f>
        <v/>
      </c>
      <c r="L33" s="5">
        <f>K33*H33</f>
        <v/>
      </c>
      <c r="M33" s="5">
        <f>(K33-L33)*I33</f>
        <v/>
      </c>
      <c r="N33" s="5">
        <f>K33-L33+M33</f>
        <v/>
      </c>
    </row>
    <row r="34">
      <c r="A34" s="2" t="n">
        <v>46030</v>
      </c>
      <c r="B34" s="3" t="inlineStr">
        <is>
          <t>INV-202601-0033</t>
        </is>
      </c>
      <c r="C34" s="3" t="inlineStr">
        <is>
          <t>Nile Stationers</t>
        </is>
      </c>
      <c r="D34" s="3" t="inlineStr">
        <is>
          <t>Mechanical Keyboard</t>
        </is>
      </c>
      <c r="E34" s="3" t="inlineStr">
        <is>
          <t>Electronics</t>
        </is>
      </c>
      <c r="F34" s="4" t="n">
        <v>16</v>
      </c>
      <c r="G34" s="5" t="n">
        <v>85.92</v>
      </c>
      <c r="H34" s="6" t="n">
        <v>0.1</v>
      </c>
      <c r="I34" s="6" t="n">
        <v>0.16</v>
      </c>
      <c r="J34" s="3" t="inlineStr">
        <is>
          <t>Amina Otieno</t>
        </is>
      </c>
      <c r="K34" s="5">
        <f>F34*G34</f>
        <v/>
      </c>
      <c r="L34" s="5">
        <f>K34*H34</f>
        <v/>
      </c>
      <c r="M34" s="5">
        <f>(K34-L34)*I34</f>
        <v/>
      </c>
      <c r="N34" s="5">
        <f>K34-L34+M34</f>
        <v/>
      </c>
    </row>
    <row r="35">
      <c r="A35" s="2" t="n">
        <v>46031</v>
      </c>
      <c r="B35" s="3" t="inlineStr">
        <is>
          <t>INV-202601-0034</t>
        </is>
      </c>
      <c r="C35" s="3" t="inlineStr">
        <is>
          <t>Mara Safari Outfitters</t>
        </is>
      </c>
      <c r="D35" s="3" t="inlineStr">
        <is>
          <t>Mechanical Keyboard</t>
        </is>
      </c>
      <c r="E35" s="3" t="inlineStr">
        <is>
          <t>Electronics</t>
        </is>
      </c>
      <c r="F35" s="4" t="n">
        <v>1</v>
      </c>
      <c r="G35" s="5" t="n">
        <v>128.75</v>
      </c>
      <c r="H35" s="6" t="n">
        <v>0</v>
      </c>
      <c r="I35" s="6" t="n">
        <v>0.16</v>
      </c>
      <c r="J35" s="3" t="inlineStr">
        <is>
          <t>Hassan Ali</t>
        </is>
      </c>
      <c r="K35" s="5">
        <f>F35*G35</f>
        <v/>
      </c>
      <c r="L35" s="5">
        <f>K35*H35</f>
        <v/>
      </c>
      <c r="M35" s="5">
        <f>(K35-L35)*I35</f>
        <v/>
      </c>
      <c r="N35" s="5">
        <f>K35-L35+M35</f>
        <v/>
      </c>
    </row>
    <row r="36">
      <c r="A36" s="2" t="n">
        <v>46031</v>
      </c>
      <c r="B36" s="3" t="inlineStr">
        <is>
          <t>INV-202601-0035</t>
        </is>
      </c>
      <c r="C36" s="3" t="inlineStr">
        <is>
          <t>Nile Stationers</t>
        </is>
      </c>
      <c r="D36" s="3" t="inlineStr">
        <is>
          <t>Ergonomic Chair</t>
        </is>
      </c>
      <c r="E36" s="3" t="inlineStr">
        <is>
          <t>Furniture</t>
        </is>
      </c>
      <c r="F36" s="4" t="n">
        <v>23</v>
      </c>
      <c r="G36" s="5" t="n">
        <v>369.76</v>
      </c>
      <c r="H36" s="6" t="n">
        <v>0.15</v>
      </c>
      <c r="I36" s="6" t="n">
        <v>0.16</v>
      </c>
      <c r="J36" s="3" t="inlineStr">
        <is>
          <t>Hassan Ali</t>
        </is>
      </c>
      <c r="K36" s="5">
        <f>F36*G36</f>
        <v/>
      </c>
      <c r="L36" s="5">
        <f>K36*H36</f>
        <v/>
      </c>
      <c r="M36" s="5">
        <f>(K36-L36)*I36</f>
        <v/>
      </c>
      <c r="N36" s="5">
        <f>K36-L36+M36</f>
        <v/>
      </c>
    </row>
    <row r="37">
      <c r="A37" s="2" t="n">
        <v>46031</v>
      </c>
      <c r="B37" s="3" t="inlineStr">
        <is>
          <t>INV-202601-0036</t>
        </is>
      </c>
      <c r="C37" s="3" t="inlineStr">
        <is>
          <t>Green Valley Schools</t>
        </is>
      </c>
      <c r="D37" s="3" t="inlineStr">
        <is>
          <t>Mechanical Keyboard</t>
        </is>
      </c>
      <c r="E37" s="3" t="inlineStr">
        <is>
          <t>Electronics</t>
        </is>
      </c>
      <c r="F37" s="4" t="n">
        <v>10</v>
      </c>
      <c r="G37" s="5" t="n">
        <v>63.5</v>
      </c>
      <c r="H37" s="6" t="n">
        <v>0</v>
      </c>
      <c r="I37" s="6" t="n">
        <v>0.16</v>
      </c>
      <c r="J37" s="3" t="inlineStr">
        <is>
          <t>Amina Otieno</t>
        </is>
      </c>
      <c r="K37" s="5">
        <f>F37*G37</f>
        <v/>
      </c>
      <c r="L37" s="5">
        <f>K37*H37</f>
        <v/>
      </c>
      <c r="M37" s="5">
        <f>(K37-L37)*I37</f>
        <v/>
      </c>
      <c r="N37" s="5">
        <f>K37-L37+M37</f>
        <v/>
      </c>
    </row>
    <row r="38">
      <c r="A38" s="2" t="n">
        <v>46031</v>
      </c>
      <c r="B38" s="3" t="inlineStr">
        <is>
          <t>INV-202601-0037</t>
        </is>
      </c>
      <c r="C38" s="3" t="inlineStr">
        <is>
          <t>Kilimani Tech Hub</t>
        </is>
      </c>
      <c r="D38" s="3" t="inlineStr">
        <is>
          <t>Laser Printer</t>
        </is>
      </c>
      <c r="E38" s="3" t="inlineStr">
        <is>
          <t>Electronics</t>
        </is>
      </c>
      <c r="F38" s="4" t="n">
        <v>2</v>
      </c>
      <c r="G38" s="5" t="n">
        <v>225.54</v>
      </c>
      <c r="H38" s="6" t="n">
        <v>0</v>
      </c>
      <c r="I38" s="6" t="n">
        <v>0.16</v>
      </c>
      <c r="J38" s="3" t="inlineStr">
        <is>
          <t>Carol Njeri</t>
        </is>
      </c>
      <c r="K38" s="5">
        <f>F38*G38</f>
        <v/>
      </c>
      <c r="L38" s="5">
        <f>K38*H38</f>
        <v/>
      </c>
      <c r="M38" s="5">
        <f>(K38-L38)*I38</f>
        <v/>
      </c>
      <c r="N38" s="5">
        <f>K38-L38+M38</f>
        <v/>
      </c>
    </row>
    <row r="39">
      <c r="A39" s="2" t="n">
        <v>46031</v>
      </c>
      <c r="B39" s="3" t="inlineStr">
        <is>
          <t>INV-202601-0038</t>
        </is>
      </c>
      <c r="C39" s="3" t="inlineStr">
        <is>
          <t>Quarry Construction</t>
        </is>
      </c>
      <c r="D39" s="3" t="inlineStr">
        <is>
          <t>Laptop Pro 15</t>
        </is>
      </c>
      <c r="E39" s="3" t="inlineStr">
        <is>
          <t>Electronics</t>
        </is>
      </c>
      <c r="F39" s="4" t="n">
        <v>3</v>
      </c>
      <c r="G39" s="5" t="n">
        <v>1180.13</v>
      </c>
      <c r="H39" s="6" t="n">
        <v>0</v>
      </c>
      <c r="I39" s="6" t="n">
        <v>0.16</v>
      </c>
      <c r="J39" s="3" t="inlineStr">
        <is>
          <t>Brian Mwangi</t>
        </is>
      </c>
      <c r="K39" s="5">
        <f>F39*G39</f>
        <v/>
      </c>
      <c r="L39" s="5">
        <f>K39*H39</f>
        <v/>
      </c>
      <c r="M39" s="5">
        <f>(K39-L39)*I39</f>
        <v/>
      </c>
      <c r="N39" s="5">
        <f>K39-L39+M39</f>
        <v/>
      </c>
    </row>
    <row r="40">
      <c r="A40" s="2" t="n">
        <v>46032</v>
      </c>
      <c r="B40" s="3" t="inlineStr">
        <is>
          <t>INV-202601-0039</t>
        </is>
      </c>
      <c r="C40" s="3" t="inlineStr">
        <is>
          <t>Highland Clinic</t>
        </is>
      </c>
      <c r="D40" s="3" t="inlineStr">
        <is>
          <t>Whiteboard Markers</t>
        </is>
      </c>
      <c r="E40" s="3" t="inlineStr">
        <is>
          <t>Stationery</t>
        </is>
      </c>
      <c r="F40" s="4" t="n">
        <v>13</v>
      </c>
      <c r="G40" s="5" t="n">
        <v>5.84</v>
      </c>
      <c r="H40" s="6" t="n">
        <v>0.1</v>
      </c>
      <c r="I40" s="6" t="n">
        <v>0.08</v>
      </c>
      <c r="J40" s="3" t="inlineStr">
        <is>
          <t>David Kamau</t>
        </is>
      </c>
      <c r="K40" s="5">
        <f>F40*G40</f>
        <v/>
      </c>
      <c r="L40" s="5">
        <f>K40*H40</f>
        <v/>
      </c>
      <c r="M40" s="5">
        <f>(K40-L40)*I40</f>
        <v/>
      </c>
      <c r="N40" s="5">
        <f>K40-L40+M40</f>
        <v/>
      </c>
    </row>
    <row r="41">
      <c r="A41" s="2" t="n">
        <v>46032</v>
      </c>
      <c r="B41" s="3" t="inlineStr">
        <is>
          <t>INV-202601-0040</t>
        </is>
      </c>
      <c r="C41" s="3" t="inlineStr">
        <is>
          <t>Tembo Supermarket</t>
        </is>
      </c>
      <c r="D41" s="3" t="inlineStr">
        <is>
          <t>Desk Organizer</t>
        </is>
      </c>
      <c r="E41" s="3" t="inlineStr">
        <is>
          <t>Stationery</t>
        </is>
      </c>
      <c r="F41" s="4" t="n">
        <v>2</v>
      </c>
      <c r="G41" s="5" t="n">
        <v>16.67</v>
      </c>
      <c r="H41" s="6" t="n">
        <v>0</v>
      </c>
      <c r="I41" s="6" t="n">
        <v>0.08</v>
      </c>
      <c r="J41" s="3" t="inlineStr">
        <is>
          <t>Felix Odhiambo</t>
        </is>
      </c>
      <c r="K41" s="5">
        <f>F41*G41</f>
        <v/>
      </c>
      <c r="L41" s="5">
        <f>K41*H41</f>
        <v/>
      </c>
      <c r="M41" s="5">
        <f>(K41-L41)*I41</f>
        <v/>
      </c>
      <c r="N41" s="5">
        <f>K41-L41+M41</f>
        <v/>
      </c>
    </row>
    <row r="42">
      <c r="A42" s="2" t="n">
        <v>46033</v>
      </c>
      <c r="B42" s="3" t="inlineStr">
        <is>
          <t>INV-202601-0041</t>
        </is>
      </c>
      <c r="C42" s="3" t="inlineStr">
        <is>
          <t>Ivory Interiors</t>
        </is>
      </c>
      <c r="D42" s="3" t="inlineStr">
        <is>
          <t>Bottled Water (Case)</t>
        </is>
      </c>
      <c r="E42" s="3" t="inlineStr">
        <is>
          <t>Consumables</t>
        </is>
      </c>
      <c r="F42" s="4" t="n">
        <v>7</v>
      </c>
      <c r="G42" s="5" t="n">
        <v>10.02</v>
      </c>
      <c r="H42" s="6" t="n">
        <v>0</v>
      </c>
      <c r="I42" s="6" t="n">
        <v>0</v>
      </c>
      <c r="J42" s="3" t="inlineStr">
        <is>
          <t>Esther Wanjiru</t>
        </is>
      </c>
      <c r="K42" s="5">
        <f>F42*G42</f>
        <v/>
      </c>
      <c r="L42" s="5">
        <f>K42*H42</f>
        <v/>
      </c>
      <c r="M42" s="5">
        <f>(K42-L42)*I42</f>
        <v/>
      </c>
      <c r="N42" s="5">
        <f>K42-L42+M42</f>
        <v/>
      </c>
    </row>
    <row r="43">
      <c r="A43" s="2" t="n">
        <v>46033</v>
      </c>
      <c r="B43" s="3" t="inlineStr">
        <is>
          <t>INV-202601-0042</t>
        </is>
      </c>
      <c r="C43" s="3" t="inlineStr">
        <is>
          <t>Equator Logistics</t>
        </is>
      </c>
      <c r="D43" s="3" t="inlineStr">
        <is>
          <t>Filing Cabinet</t>
        </is>
      </c>
      <c r="E43" s="3" t="inlineStr">
        <is>
          <t>Furniture</t>
        </is>
      </c>
      <c r="F43" s="4" t="n">
        <v>22</v>
      </c>
      <c r="G43" s="5" t="n">
        <v>167.46</v>
      </c>
      <c r="H43" s="6" t="n">
        <v>0</v>
      </c>
      <c r="I43" s="6" t="n">
        <v>0.16</v>
      </c>
      <c r="J43" s="3" t="inlineStr">
        <is>
          <t>Brian Mwangi</t>
        </is>
      </c>
      <c r="K43" s="5">
        <f>F43*G43</f>
        <v/>
      </c>
      <c r="L43" s="5">
        <f>K43*H43</f>
        <v/>
      </c>
      <c r="M43" s="5">
        <f>(K43-L43)*I43</f>
        <v/>
      </c>
      <c r="N43" s="5">
        <f>K43-L43+M43</f>
        <v/>
      </c>
    </row>
    <row r="44">
      <c r="A44" s="2" t="n">
        <v>46034</v>
      </c>
      <c r="B44" s="3" t="inlineStr">
        <is>
          <t>INV-202601-0043</t>
        </is>
      </c>
      <c r="C44" s="3" t="inlineStr">
        <is>
          <t>Orchid Salon</t>
        </is>
      </c>
      <c r="D44" s="3" t="inlineStr">
        <is>
          <t>Laptop Pro 15</t>
        </is>
      </c>
      <c r="E44" s="3" t="inlineStr">
        <is>
          <t>Electronics</t>
        </is>
      </c>
      <c r="F44" s="4" t="n">
        <v>20</v>
      </c>
      <c r="G44" s="5" t="n">
        <v>1249.27</v>
      </c>
      <c r="H44" s="6" t="n">
        <v>0.15</v>
      </c>
      <c r="I44" s="6" t="n">
        <v>0.16</v>
      </c>
      <c r="J44" s="3" t="inlineStr">
        <is>
          <t>Brian Mwangi</t>
        </is>
      </c>
      <c r="K44" s="5">
        <f>F44*G44</f>
        <v/>
      </c>
      <c r="L44" s="5">
        <f>K44*H44</f>
        <v/>
      </c>
      <c r="M44" s="5">
        <f>(K44-L44)*I44</f>
        <v/>
      </c>
      <c r="N44" s="5">
        <f>K44-L44+M44</f>
        <v/>
      </c>
    </row>
    <row r="45">
      <c r="A45" s="2" t="n">
        <v>46034</v>
      </c>
      <c r="B45" s="3" t="inlineStr">
        <is>
          <t>INV-202601-0044</t>
        </is>
      </c>
      <c r="C45" s="3" t="inlineStr">
        <is>
          <t>Green Valley Schools</t>
        </is>
      </c>
      <c r="D45" s="3" t="inlineStr">
        <is>
          <t>Ballpoint Pens (Box)</t>
        </is>
      </c>
      <c r="E45" s="3" t="inlineStr">
        <is>
          <t>Stationery</t>
        </is>
      </c>
      <c r="F45" s="4" t="n">
        <v>17</v>
      </c>
      <c r="G45" s="5" t="n">
        <v>5.33</v>
      </c>
      <c r="H45" s="6" t="n">
        <v>0.15</v>
      </c>
      <c r="I45" s="6" t="n">
        <v>0.08</v>
      </c>
      <c r="J45" s="3" t="inlineStr">
        <is>
          <t>Brian Mwangi</t>
        </is>
      </c>
      <c r="K45" s="5">
        <f>F45*G45</f>
        <v/>
      </c>
      <c r="L45" s="5">
        <f>K45*H45</f>
        <v/>
      </c>
      <c r="M45" s="5">
        <f>(K45-L45)*I45</f>
        <v/>
      </c>
      <c r="N45" s="5">
        <f>K45-L45+M45</f>
        <v/>
      </c>
    </row>
    <row r="46">
      <c r="A46" s="2" t="n">
        <v>46034</v>
      </c>
      <c r="B46" s="3" t="inlineStr">
        <is>
          <t>INV-202601-0045</t>
        </is>
      </c>
      <c r="C46" s="3" t="inlineStr">
        <is>
          <t>Highland Clinic</t>
        </is>
      </c>
      <c r="D46" s="3" t="inlineStr">
        <is>
          <t>Bottled Water (Case)</t>
        </is>
      </c>
      <c r="E46" s="3" t="inlineStr">
        <is>
          <t>Consumables</t>
        </is>
      </c>
      <c r="F46" s="4" t="n">
        <v>12</v>
      </c>
      <c r="G46" s="5" t="n">
        <v>7.71</v>
      </c>
      <c r="H46" s="6" t="n">
        <v>0</v>
      </c>
      <c r="I46" s="6" t="n">
        <v>0</v>
      </c>
      <c r="J46" s="3" t="inlineStr">
        <is>
          <t>Esther Wanjiru</t>
        </is>
      </c>
      <c r="K46" s="5">
        <f>F46*G46</f>
        <v/>
      </c>
      <c r="L46" s="5">
        <f>K46*H46</f>
        <v/>
      </c>
      <c r="M46" s="5">
        <f>(K46-L46)*I46</f>
        <v/>
      </c>
      <c r="N46" s="5">
        <f>K46-L46+M46</f>
        <v/>
      </c>
    </row>
    <row r="47">
      <c r="A47" s="2" t="n">
        <v>46034</v>
      </c>
      <c r="B47" s="3" t="inlineStr">
        <is>
          <t>INV-202601-0046</t>
        </is>
      </c>
      <c r="C47" s="3" t="inlineStr">
        <is>
          <t>Umoja Sacco</t>
        </is>
      </c>
      <c r="D47" s="3" t="inlineStr">
        <is>
          <t>Desk Organizer</t>
        </is>
      </c>
      <c r="E47" s="3" t="inlineStr">
        <is>
          <t>Stationery</t>
        </is>
      </c>
      <c r="F47" s="4" t="n">
        <v>17</v>
      </c>
      <c r="G47" s="5" t="n">
        <v>8.109999999999999</v>
      </c>
      <c r="H47" s="6" t="n">
        <v>0.1</v>
      </c>
      <c r="I47" s="6" t="n">
        <v>0.08</v>
      </c>
      <c r="J47" s="3" t="inlineStr">
        <is>
          <t>Esther Wanjiru</t>
        </is>
      </c>
      <c r="K47" s="5">
        <f>F47*G47</f>
        <v/>
      </c>
      <c r="L47" s="5">
        <f>K47*H47</f>
        <v/>
      </c>
      <c r="M47" s="5">
        <f>(K47-L47)*I47</f>
        <v/>
      </c>
      <c r="N47" s="5">
        <f>K47-L47+M47</f>
        <v/>
      </c>
    </row>
    <row r="48">
      <c r="A48" s="2" t="n">
        <v>46034</v>
      </c>
      <c r="B48" s="3" t="inlineStr">
        <is>
          <t>INV-202601-0047</t>
        </is>
      </c>
      <c r="C48" s="3" t="inlineStr">
        <is>
          <t>Victoria Textiles</t>
        </is>
      </c>
      <c r="D48" s="3" t="inlineStr">
        <is>
          <t>Bottled Water (Case)</t>
        </is>
      </c>
      <c r="E48" s="3" t="inlineStr">
        <is>
          <t>Consumables</t>
        </is>
      </c>
      <c r="F48" s="4" t="n">
        <v>4</v>
      </c>
      <c r="G48" s="5" t="n">
        <v>11.63</v>
      </c>
      <c r="H48" s="6" t="n">
        <v>0</v>
      </c>
      <c r="I48" s="6" t="n">
        <v>0</v>
      </c>
      <c r="J48" s="3" t="inlineStr">
        <is>
          <t>Brian Mwangi</t>
        </is>
      </c>
      <c r="K48" s="5">
        <f>F48*G48</f>
        <v/>
      </c>
      <c r="L48" s="5">
        <f>K48*H48</f>
        <v/>
      </c>
      <c r="M48" s="5">
        <f>(K48-L48)*I48</f>
        <v/>
      </c>
      <c r="N48" s="5">
        <f>K48-L48+M48</f>
        <v/>
      </c>
    </row>
    <row r="49">
      <c r="A49" s="2" t="n">
        <v>46034</v>
      </c>
      <c r="B49" s="3" t="inlineStr">
        <is>
          <t>INV-202601-0048</t>
        </is>
      </c>
      <c r="C49" s="3" t="inlineStr">
        <is>
          <t>Delta Office Supplies</t>
        </is>
      </c>
      <c r="D49" s="3" t="inlineStr">
        <is>
          <t>Bottled Water (Case)</t>
        </is>
      </c>
      <c r="E49" s="3" t="inlineStr">
        <is>
          <t>Consumables</t>
        </is>
      </c>
      <c r="F49" s="4" t="n">
        <v>24</v>
      </c>
      <c r="G49" s="5" t="n">
        <v>9.32</v>
      </c>
      <c r="H49" s="6" t="n">
        <v>0</v>
      </c>
      <c r="I49" s="6" t="n">
        <v>0</v>
      </c>
      <c r="J49" s="3" t="inlineStr">
        <is>
          <t>David Kamau</t>
        </is>
      </c>
      <c r="K49" s="5">
        <f>F49*G49</f>
        <v/>
      </c>
      <c r="L49" s="5">
        <f>K49*H49</f>
        <v/>
      </c>
      <c r="M49" s="5">
        <f>(K49-L49)*I49</f>
        <v/>
      </c>
      <c r="N49" s="5">
        <f>K49-L49+M49</f>
        <v/>
      </c>
    </row>
    <row r="50">
      <c r="A50" s="2" t="n">
        <v>46035</v>
      </c>
      <c r="B50" s="3" t="inlineStr">
        <is>
          <t>INV-202601-0049</t>
        </is>
      </c>
      <c r="C50" s="3" t="inlineStr">
        <is>
          <t>Kilimani Tech Hub</t>
        </is>
      </c>
      <c r="D50" s="3" t="inlineStr">
        <is>
          <t>Laser Printer</t>
        </is>
      </c>
      <c r="E50" s="3" t="inlineStr">
        <is>
          <t>Electronics</t>
        </is>
      </c>
      <c r="F50" s="4" t="n">
        <v>7</v>
      </c>
      <c r="G50" s="5" t="n">
        <v>423.12</v>
      </c>
      <c r="H50" s="6" t="n">
        <v>0.1</v>
      </c>
      <c r="I50" s="6" t="n">
        <v>0.16</v>
      </c>
      <c r="J50" s="3" t="inlineStr">
        <is>
          <t>Hassan Ali</t>
        </is>
      </c>
      <c r="K50" s="5">
        <f>F50*G50</f>
        <v/>
      </c>
      <c r="L50" s="5">
        <f>K50*H50</f>
        <v/>
      </c>
      <c r="M50" s="5">
        <f>(K50-L50)*I50</f>
        <v/>
      </c>
      <c r="N50" s="5">
        <f>K50-L50+M50</f>
        <v/>
      </c>
    </row>
    <row r="51">
      <c r="A51" s="2" t="n">
        <v>46035</v>
      </c>
      <c r="B51" s="3" t="inlineStr">
        <is>
          <t>INV-202601-0050</t>
        </is>
      </c>
      <c r="C51" s="3" t="inlineStr">
        <is>
          <t>Baobab Traders</t>
        </is>
      </c>
      <c r="D51" s="3" t="inlineStr">
        <is>
          <t>Ergonomic Chair</t>
        </is>
      </c>
      <c r="E51" s="3" t="inlineStr">
        <is>
          <t>Furniture</t>
        </is>
      </c>
      <c r="F51" s="4" t="n">
        <v>3</v>
      </c>
      <c r="G51" s="5" t="n">
        <v>292.23</v>
      </c>
      <c r="H51" s="6" t="n">
        <v>0.1</v>
      </c>
      <c r="I51" s="6" t="n">
        <v>0.16</v>
      </c>
      <c r="J51" s="3" t="inlineStr">
        <is>
          <t>Amina Otieno</t>
        </is>
      </c>
      <c r="K51" s="5">
        <f>F51*G51</f>
        <v/>
      </c>
      <c r="L51" s="5">
        <f>K51*H51</f>
        <v/>
      </c>
      <c r="M51" s="5">
        <f>(K51-L51)*I51</f>
        <v/>
      </c>
      <c r="N51" s="5">
        <f>K51-L51+M51</f>
        <v/>
      </c>
    </row>
    <row r="52">
      <c r="A52" s="2" t="n">
        <v>46035</v>
      </c>
      <c r="B52" s="3" t="inlineStr">
        <is>
          <t>INV-202601-0051</t>
        </is>
      </c>
      <c r="C52" s="3" t="inlineStr">
        <is>
          <t>Kilimani Tech Hub</t>
        </is>
      </c>
      <c r="D52" s="3" t="inlineStr">
        <is>
          <t>Laptop Pro 15</t>
        </is>
      </c>
      <c r="E52" s="3" t="inlineStr">
        <is>
          <t>Electronics</t>
        </is>
      </c>
      <c r="F52" s="4" t="n">
        <v>25</v>
      </c>
      <c r="G52" s="5" t="n">
        <v>841.49</v>
      </c>
      <c r="H52" s="6" t="n">
        <v>0.15</v>
      </c>
      <c r="I52" s="6" t="n">
        <v>0.16</v>
      </c>
      <c r="J52" s="3" t="inlineStr">
        <is>
          <t>Carol Njeri</t>
        </is>
      </c>
      <c r="K52" s="5">
        <f>F52*G52</f>
        <v/>
      </c>
      <c r="L52" s="5">
        <f>K52*H52</f>
        <v/>
      </c>
      <c r="M52" s="5">
        <f>(K52-L52)*I52</f>
        <v/>
      </c>
      <c r="N52" s="5">
        <f>K52-L52+M52</f>
        <v/>
      </c>
    </row>
    <row r="53">
      <c r="A53" s="2" t="n">
        <v>46036</v>
      </c>
      <c r="B53" s="3" t="inlineStr">
        <is>
          <t>INV-202601-0052</t>
        </is>
      </c>
      <c r="C53" s="3" t="inlineStr">
        <is>
          <t>Orchid Salon</t>
        </is>
      </c>
      <c r="D53" s="3" t="inlineStr">
        <is>
          <t>Laser Printer</t>
        </is>
      </c>
      <c r="E53" s="3" t="inlineStr">
        <is>
          <t>Electronics</t>
        </is>
      </c>
      <c r="F53" s="4" t="n">
        <v>18</v>
      </c>
      <c r="G53" s="5" t="n">
        <v>428.76</v>
      </c>
      <c r="H53" s="6" t="n">
        <v>0.05</v>
      </c>
      <c r="I53" s="6" t="n">
        <v>0.16</v>
      </c>
      <c r="J53" s="3" t="inlineStr">
        <is>
          <t>Brian Mwangi</t>
        </is>
      </c>
      <c r="K53" s="5">
        <f>F53*G53</f>
        <v/>
      </c>
      <c r="L53" s="5">
        <f>K53*H53</f>
        <v/>
      </c>
      <c r="M53" s="5">
        <f>(K53-L53)*I53</f>
        <v/>
      </c>
      <c r="N53" s="5">
        <f>K53-L53+M53</f>
        <v/>
      </c>
    </row>
    <row r="54">
      <c r="A54" s="2" t="n">
        <v>46036</v>
      </c>
      <c r="B54" s="3" t="inlineStr">
        <is>
          <t>INV-202601-0053</t>
        </is>
      </c>
      <c r="C54" s="3" t="inlineStr">
        <is>
          <t>Wema Foundation</t>
        </is>
      </c>
      <c r="D54" s="3" t="inlineStr">
        <is>
          <t>Wireless Mouse</t>
        </is>
      </c>
      <c r="E54" s="3" t="inlineStr">
        <is>
          <t>Electronics</t>
        </is>
      </c>
      <c r="F54" s="4" t="n">
        <v>5</v>
      </c>
      <c r="G54" s="5" t="n">
        <v>24.55</v>
      </c>
      <c r="H54" s="6" t="n">
        <v>0.1</v>
      </c>
      <c r="I54" s="6" t="n">
        <v>0.16</v>
      </c>
      <c r="J54" s="3" t="inlineStr">
        <is>
          <t>Carol Njeri</t>
        </is>
      </c>
      <c r="K54" s="5">
        <f>F54*G54</f>
        <v/>
      </c>
      <c r="L54" s="5">
        <f>K54*H54</f>
        <v/>
      </c>
      <c r="M54" s="5">
        <f>(K54-L54)*I54</f>
        <v/>
      </c>
      <c r="N54" s="5">
        <f>K54-L54+M54</f>
        <v/>
      </c>
    </row>
    <row r="55">
      <c r="A55" s="2" t="n">
        <v>46036</v>
      </c>
      <c r="B55" s="3" t="inlineStr">
        <is>
          <t>INV-202601-0054</t>
        </is>
      </c>
      <c r="C55" s="3" t="inlineStr">
        <is>
          <t>Equator Logistics</t>
        </is>
      </c>
      <c r="D55" s="3" t="inlineStr">
        <is>
          <t>Filing Cabinet</t>
        </is>
      </c>
      <c r="E55" s="3" t="inlineStr">
        <is>
          <t>Furniture</t>
        </is>
      </c>
      <c r="F55" s="4" t="n">
        <v>2</v>
      </c>
      <c r="G55" s="5" t="n">
        <v>126.99</v>
      </c>
      <c r="H55" s="6" t="n">
        <v>0.1</v>
      </c>
      <c r="I55" s="6" t="n">
        <v>0.16</v>
      </c>
      <c r="J55" s="3" t="inlineStr">
        <is>
          <t>Amina Otieno</t>
        </is>
      </c>
      <c r="K55" s="5">
        <f>F55*G55</f>
        <v/>
      </c>
      <c r="L55" s="5">
        <f>K55*H55</f>
        <v/>
      </c>
      <c r="M55" s="5">
        <f>(K55-L55)*I55</f>
        <v/>
      </c>
      <c r="N55" s="5">
        <f>K55-L55+M55</f>
        <v/>
      </c>
    </row>
    <row r="56">
      <c r="A56" s="2" t="n">
        <v>46037</v>
      </c>
      <c r="B56" s="3" t="inlineStr">
        <is>
          <t>INV-202601-0055</t>
        </is>
      </c>
      <c r="C56" s="3" t="inlineStr">
        <is>
          <t>Lakeview Pharmacy</t>
        </is>
      </c>
      <c r="D56" s="3" t="inlineStr">
        <is>
          <t>Bottled Water (Case)</t>
        </is>
      </c>
      <c r="E56" s="3" t="inlineStr">
        <is>
          <t>Consumables</t>
        </is>
      </c>
      <c r="F56" s="4" t="n">
        <v>7</v>
      </c>
      <c r="G56" s="5" t="n">
        <v>10.09</v>
      </c>
      <c r="H56" s="6" t="n">
        <v>0.05</v>
      </c>
      <c r="I56" s="6" t="n">
        <v>0</v>
      </c>
      <c r="J56" s="3" t="inlineStr">
        <is>
          <t>Felix Odhiambo</t>
        </is>
      </c>
      <c r="K56" s="5">
        <f>F56*G56</f>
        <v/>
      </c>
      <c r="L56" s="5">
        <f>K56*H56</f>
        <v/>
      </c>
      <c r="M56" s="5">
        <f>(K56-L56)*I56</f>
        <v/>
      </c>
      <c r="N56" s="5">
        <f>K56-L56+M56</f>
        <v/>
      </c>
    </row>
    <row r="57">
      <c r="A57" s="2" t="n">
        <v>46037</v>
      </c>
      <c r="B57" s="3" t="inlineStr">
        <is>
          <t>INV-202601-0056</t>
        </is>
      </c>
      <c r="C57" s="3" t="inlineStr">
        <is>
          <t>Rift Valley Farms</t>
        </is>
      </c>
      <c r="D57" s="3" t="inlineStr">
        <is>
          <t>Printer Toner</t>
        </is>
      </c>
      <c r="E57" s="3" t="inlineStr">
        <is>
          <t>Consumables</t>
        </is>
      </c>
      <c r="F57" s="4" t="n">
        <v>14</v>
      </c>
      <c r="G57" s="5" t="n">
        <v>93.51000000000001</v>
      </c>
      <c r="H57" s="6" t="n">
        <v>0.05</v>
      </c>
      <c r="I57" s="6" t="n">
        <v>0</v>
      </c>
      <c r="J57" s="3" t="inlineStr">
        <is>
          <t>David Kamau</t>
        </is>
      </c>
      <c r="K57" s="5">
        <f>F57*G57</f>
        <v/>
      </c>
      <c r="L57" s="5">
        <f>K57*H57</f>
        <v/>
      </c>
      <c r="M57" s="5">
        <f>(K57-L57)*I57</f>
        <v/>
      </c>
      <c r="N57" s="5">
        <f>K57-L57+M57</f>
        <v/>
      </c>
    </row>
    <row r="58">
      <c r="A58" s="2" t="n">
        <v>46037</v>
      </c>
      <c r="B58" s="3" t="inlineStr">
        <is>
          <t>INV-202601-0057</t>
        </is>
      </c>
      <c r="C58" s="3" t="inlineStr">
        <is>
          <t>Fig Tree Cafe</t>
        </is>
      </c>
      <c r="D58" s="3" t="inlineStr">
        <is>
          <t>Coffee Beans 1kg</t>
        </is>
      </c>
      <c r="E58" s="3" t="inlineStr">
        <is>
          <t>Consumables</t>
        </is>
      </c>
      <c r="F58" s="4" t="n">
        <v>6</v>
      </c>
      <c r="G58" s="5" t="n">
        <v>22.46</v>
      </c>
      <c r="H58" s="6" t="n">
        <v>0</v>
      </c>
      <c r="I58" s="6" t="n">
        <v>0</v>
      </c>
      <c r="J58" s="3" t="inlineStr">
        <is>
          <t>Felix Odhiambo</t>
        </is>
      </c>
      <c r="K58" s="5">
        <f>F58*G58</f>
        <v/>
      </c>
      <c r="L58" s="5">
        <f>K58*H58</f>
        <v/>
      </c>
      <c r="M58" s="5">
        <f>(K58-L58)*I58</f>
        <v/>
      </c>
      <c r="N58" s="5">
        <f>K58-L58+M58</f>
        <v/>
      </c>
    </row>
    <row r="59">
      <c r="A59" s="2" t="n">
        <v>46039</v>
      </c>
      <c r="B59" s="3" t="inlineStr">
        <is>
          <t>INV-202601-0058</t>
        </is>
      </c>
      <c r="C59" s="3" t="inlineStr">
        <is>
          <t>Nile Stationers</t>
        </is>
      </c>
      <c r="D59" s="3" t="inlineStr">
        <is>
          <t>Printer Toner</t>
        </is>
      </c>
      <c r="E59" s="3" t="inlineStr">
        <is>
          <t>Consumables</t>
        </is>
      </c>
      <c r="F59" s="4" t="n">
        <v>22</v>
      </c>
      <c r="G59" s="5" t="n">
        <v>87.25</v>
      </c>
      <c r="H59" s="6" t="n">
        <v>0.1</v>
      </c>
      <c r="I59" s="6" t="n">
        <v>0</v>
      </c>
      <c r="J59" s="3" t="inlineStr">
        <is>
          <t>Esther Wanjiru</t>
        </is>
      </c>
      <c r="K59" s="5">
        <f>F59*G59</f>
        <v/>
      </c>
      <c r="L59" s="5">
        <f>K59*H59</f>
        <v/>
      </c>
      <c r="M59" s="5">
        <f>(K59-L59)*I59</f>
        <v/>
      </c>
      <c r="N59" s="5">
        <f>K59-L59+M59</f>
        <v/>
      </c>
    </row>
    <row r="60">
      <c r="A60" s="2" t="n">
        <v>46040</v>
      </c>
      <c r="B60" s="3" t="inlineStr">
        <is>
          <t>INV-202601-0059</t>
        </is>
      </c>
      <c r="C60" s="3" t="inlineStr">
        <is>
          <t>Wema Foundation</t>
        </is>
      </c>
      <c r="D60" s="3" t="inlineStr">
        <is>
          <t>Mechanical Keyboard</t>
        </is>
      </c>
      <c r="E60" s="3" t="inlineStr">
        <is>
          <t>Electronics</t>
        </is>
      </c>
      <c r="F60" s="4" t="n">
        <v>4</v>
      </c>
      <c r="G60" s="5" t="n">
        <v>77.52</v>
      </c>
      <c r="H60" s="6" t="n">
        <v>0</v>
      </c>
      <c r="I60" s="6" t="n">
        <v>0.16</v>
      </c>
      <c r="J60" s="3" t="inlineStr">
        <is>
          <t>Hassan Ali</t>
        </is>
      </c>
      <c r="K60" s="5">
        <f>F60*G60</f>
        <v/>
      </c>
      <c r="L60" s="5">
        <f>K60*H60</f>
        <v/>
      </c>
      <c r="M60" s="5">
        <f>(K60-L60)*I60</f>
        <v/>
      </c>
      <c r="N60" s="5">
        <f>K60-L60+M60</f>
        <v/>
      </c>
    </row>
    <row r="61">
      <c r="A61" s="2" t="n">
        <v>46040</v>
      </c>
      <c r="B61" s="3" t="inlineStr">
        <is>
          <t>INV-202601-0060</t>
        </is>
      </c>
      <c r="C61" s="3" t="inlineStr">
        <is>
          <t>Green Valley Schools</t>
        </is>
      </c>
      <c r="D61" s="3" t="inlineStr">
        <is>
          <t>27-inch Monitor</t>
        </is>
      </c>
      <c r="E61" s="3" t="inlineStr">
        <is>
          <t>Electronics</t>
        </is>
      </c>
      <c r="F61" s="4" t="n">
        <v>15</v>
      </c>
      <c r="G61" s="5" t="n">
        <v>263.92</v>
      </c>
      <c r="H61" s="6" t="n">
        <v>0.1</v>
      </c>
      <c r="I61" s="6" t="n">
        <v>0.16</v>
      </c>
      <c r="J61" s="3" t="inlineStr">
        <is>
          <t>David Kamau</t>
        </is>
      </c>
      <c r="K61" s="5">
        <f>F61*G61</f>
        <v/>
      </c>
      <c r="L61" s="5">
        <f>K61*H61</f>
        <v/>
      </c>
      <c r="M61" s="5">
        <f>(K61-L61)*I61</f>
        <v/>
      </c>
      <c r="N61" s="5">
        <f>K61-L61+M61</f>
        <v/>
      </c>
    </row>
    <row r="62">
      <c r="A62" s="2" t="n">
        <v>46040</v>
      </c>
      <c r="B62" s="3" t="inlineStr">
        <is>
          <t>INV-202601-0061</t>
        </is>
      </c>
      <c r="C62" s="3" t="inlineStr">
        <is>
          <t>Acacia Retail Ltd</t>
        </is>
      </c>
      <c r="D62" s="3" t="inlineStr">
        <is>
          <t>27-inch Monitor</t>
        </is>
      </c>
      <c r="E62" s="3" t="inlineStr">
        <is>
          <t>Electronics</t>
        </is>
      </c>
      <c r="F62" s="4" t="n">
        <v>22</v>
      </c>
      <c r="G62" s="5" t="n">
        <v>226.35</v>
      </c>
      <c r="H62" s="6" t="n">
        <v>0</v>
      </c>
      <c r="I62" s="6" t="n">
        <v>0.16</v>
      </c>
      <c r="J62" s="3" t="inlineStr">
        <is>
          <t>Brian Mwangi</t>
        </is>
      </c>
      <c r="K62" s="5">
        <f>F62*G62</f>
        <v/>
      </c>
      <c r="L62" s="5">
        <f>K62*H62</f>
        <v/>
      </c>
      <c r="M62" s="5">
        <f>(K62-L62)*I62</f>
        <v/>
      </c>
      <c r="N62" s="5">
        <f>K62-L62+M62</f>
        <v/>
      </c>
    </row>
    <row r="63">
      <c r="A63" s="2" t="n">
        <v>46040</v>
      </c>
      <c r="B63" s="3" t="inlineStr">
        <is>
          <t>INV-202601-0062</t>
        </is>
      </c>
      <c r="C63" s="3" t="inlineStr">
        <is>
          <t>Ivory Interiors</t>
        </is>
      </c>
      <c r="D63" s="3" t="inlineStr">
        <is>
          <t>Printer Toner</t>
        </is>
      </c>
      <c r="E63" s="3" t="inlineStr">
        <is>
          <t>Consumables</t>
        </is>
      </c>
      <c r="F63" s="4" t="n">
        <v>12</v>
      </c>
      <c r="G63" s="5" t="n">
        <v>74.56</v>
      </c>
      <c r="H63" s="6" t="n">
        <v>0</v>
      </c>
      <c r="I63" s="6" t="n">
        <v>0</v>
      </c>
      <c r="J63" s="3" t="inlineStr">
        <is>
          <t>Felix Odhiambo</t>
        </is>
      </c>
      <c r="K63" s="5">
        <f>F63*G63</f>
        <v/>
      </c>
      <c r="L63" s="5">
        <f>K63*H63</f>
        <v/>
      </c>
      <c r="M63" s="5">
        <f>(K63-L63)*I63</f>
        <v/>
      </c>
      <c r="N63" s="5">
        <f>K63-L63+M63</f>
        <v/>
      </c>
    </row>
    <row r="64">
      <c r="A64" s="2" t="n">
        <v>46040</v>
      </c>
      <c r="B64" s="3" t="inlineStr">
        <is>
          <t>INV-202601-0063</t>
        </is>
      </c>
      <c r="C64" s="3" t="inlineStr">
        <is>
          <t>Delta Office Supplies</t>
        </is>
      </c>
      <c r="D64" s="3" t="inlineStr">
        <is>
          <t>Laptop Pro 15</t>
        </is>
      </c>
      <c r="E64" s="3" t="inlineStr">
        <is>
          <t>Electronics</t>
        </is>
      </c>
      <c r="F64" s="4" t="n">
        <v>9</v>
      </c>
      <c r="G64" s="5" t="n">
        <v>863.9299999999999</v>
      </c>
      <c r="H64" s="6" t="n">
        <v>0.15</v>
      </c>
      <c r="I64" s="6" t="n">
        <v>0.16</v>
      </c>
      <c r="J64" s="3" t="inlineStr">
        <is>
          <t>Esther Wanjiru</t>
        </is>
      </c>
      <c r="K64" s="5">
        <f>F64*G64</f>
        <v/>
      </c>
      <c r="L64" s="5">
        <f>K64*H64</f>
        <v/>
      </c>
      <c r="M64" s="5">
        <f>(K64-L64)*I64</f>
        <v/>
      </c>
      <c r="N64" s="5">
        <f>K64-L64+M64</f>
        <v/>
      </c>
    </row>
    <row r="65">
      <c r="A65" s="2" t="n">
        <v>46041</v>
      </c>
      <c r="B65" s="3" t="inlineStr">
        <is>
          <t>INV-202601-0064</t>
        </is>
      </c>
      <c r="C65" s="3" t="inlineStr">
        <is>
          <t>Delta Office Supplies</t>
        </is>
      </c>
      <c r="D65" s="3" t="inlineStr">
        <is>
          <t>Laptop Pro 15</t>
        </is>
      </c>
      <c r="E65" s="3" t="inlineStr">
        <is>
          <t>Electronics</t>
        </is>
      </c>
      <c r="F65" s="4" t="n">
        <v>20</v>
      </c>
      <c r="G65" s="5" t="n">
        <v>984.24</v>
      </c>
      <c r="H65" s="6" t="n">
        <v>0.05</v>
      </c>
      <c r="I65" s="6" t="n">
        <v>0.16</v>
      </c>
      <c r="J65" s="3" t="inlineStr">
        <is>
          <t>Felix Odhiambo</t>
        </is>
      </c>
      <c r="K65" s="5">
        <f>F65*G65</f>
        <v/>
      </c>
      <c r="L65" s="5">
        <f>K65*H65</f>
        <v/>
      </c>
      <c r="M65" s="5">
        <f>(K65-L65)*I65</f>
        <v/>
      </c>
      <c r="N65" s="5">
        <f>K65-L65+M65</f>
        <v/>
      </c>
    </row>
    <row r="66">
      <c r="A66" s="2" t="n">
        <v>46041</v>
      </c>
      <c r="B66" s="3" t="inlineStr">
        <is>
          <t>INV-202601-0065</t>
        </is>
      </c>
      <c r="C66" s="3" t="inlineStr">
        <is>
          <t>Tembo Supermarket</t>
        </is>
      </c>
      <c r="D66" s="3" t="inlineStr">
        <is>
          <t>Filing Cabinet</t>
        </is>
      </c>
      <c r="E66" s="3" t="inlineStr">
        <is>
          <t>Furniture</t>
        </is>
      </c>
      <c r="F66" s="4" t="n">
        <v>17</v>
      </c>
      <c r="G66" s="5" t="n">
        <v>103.88</v>
      </c>
      <c r="H66" s="6" t="n">
        <v>0.1</v>
      </c>
      <c r="I66" s="6" t="n">
        <v>0.16</v>
      </c>
      <c r="J66" s="3" t="inlineStr">
        <is>
          <t>David Kamau</t>
        </is>
      </c>
      <c r="K66" s="5">
        <f>F66*G66</f>
        <v/>
      </c>
      <c r="L66" s="5">
        <f>K66*H66</f>
        <v/>
      </c>
      <c r="M66" s="5">
        <f>(K66-L66)*I66</f>
        <v/>
      </c>
      <c r="N66" s="5">
        <f>K66-L66+M66</f>
        <v/>
      </c>
    </row>
    <row r="67">
      <c r="A67" s="2" t="n">
        <v>46041</v>
      </c>
      <c r="B67" s="3" t="inlineStr">
        <is>
          <t>INV-202601-0066</t>
        </is>
      </c>
      <c r="C67" s="3" t="inlineStr">
        <is>
          <t>Baobab Traders</t>
        </is>
      </c>
      <c r="D67" s="3" t="inlineStr">
        <is>
          <t>Ergonomic Chair</t>
        </is>
      </c>
      <c r="E67" s="3" t="inlineStr">
        <is>
          <t>Furniture</t>
        </is>
      </c>
      <c r="F67" s="4" t="n">
        <v>23</v>
      </c>
      <c r="G67" s="5" t="n">
        <v>244.65</v>
      </c>
      <c r="H67" s="6" t="n">
        <v>0.05</v>
      </c>
      <c r="I67" s="6" t="n">
        <v>0.16</v>
      </c>
      <c r="J67" s="3" t="inlineStr">
        <is>
          <t>David Kamau</t>
        </is>
      </c>
      <c r="K67" s="5">
        <f>F67*G67</f>
        <v/>
      </c>
      <c r="L67" s="5">
        <f>K67*H67</f>
        <v/>
      </c>
      <c r="M67" s="5">
        <f>(K67-L67)*I67</f>
        <v/>
      </c>
      <c r="N67" s="5">
        <f>K67-L67+M67</f>
        <v/>
      </c>
    </row>
    <row r="68">
      <c r="A68" s="2" t="n">
        <v>46042</v>
      </c>
      <c r="B68" s="3" t="inlineStr">
        <is>
          <t>INV-202601-0067</t>
        </is>
      </c>
      <c r="C68" s="3" t="inlineStr">
        <is>
          <t>Nile Stationers</t>
        </is>
      </c>
      <c r="D68" s="3" t="inlineStr">
        <is>
          <t>Standing Desk</t>
        </is>
      </c>
      <c r="E68" s="3" t="inlineStr">
        <is>
          <t>Furniture</t>
        </is>
      </c>
      <c r="F68" s="4" t="n">
        <v>3</v>
      </c>
      <c r="G68" s="5" t="n">
        <v>620.5700000000001</v>
      </c>
      <c r="H68" s="6" t="n">
        <v>0.15</v>
      </c>
      <c r="I68" s="6" t="n">
        <v>0.16</v>
      </c>
      <c r="J68" s="3" t="inlineStr">
        <is>
          <t>Felix Odhiambo</t>
        </is>
      </c>
      <c r="K68" s="5">
        <f>F68*G68</f>
        <v/>
      </c>
      <c r="L68" s="5">
        <f>K68*H68</f>
        <v/>
      </c>
      <c r="M68" s="5">
        <f>(K68-L68)*I68</f>
        <v/>
      </c>
      <c r="N68" s="5">
        <f>K68-L68+M68</f>
        <v/>
      </c>
    </row>
    <row r="69">
      <c r="A69" s="2" t="n">
        <v>46042</v>
      </c>
      <c r="B69" s="3" t="inlineStr">
        <is>
          <t>INV-202601-0068</t>
        </is>
      </c>
      <c r="C69" s="3" t="inlineStr">
        <is>
          <t>Delta Office Supplies</t>
        </is>
      </c>
      <c r="D69" s="3" t="inlineStr">
        <is>
          <t>Whiteboard Markers</t>
        </is>
      </c>
      <c r="E69" s="3" t="inlineStr">
        <is>
          <t>Stationery</t>
        </is>
      </c>
      <c r="F69" s="4" t="n">
        <v>24</v>
      </c>
      <c r="G69" s="5" t="n">
        <v>11.3</v>
      </c>
      <c r="H69" s="6" t="n">
        <v>0.05</v>
      </c>
      <c r="I69" s="6" t="n">
        <v>0.08</v>
      </c>
      <c r="J69" s="3" t="inlineStr">
        <is>
          <t>Grace Achieng</t>
        </is>
      </c>
      <c r="K69" s="5">
        <f>F69*G69</f>
        <v/>
      </c>
      <c r="L69" s="5">
        <f>K69*H69</f>
        <v/>
      </c>
      <c r="M69" s="5">
        <f>(K69-L69)*I69</f>
        <v/>
      </c>
      <c r="N69" s="5">
        <f>K69-L69+M69</f>
        <v/>
      </c>
    </row>
    <row r="70">
      <c r="A70" s="2" t="n">
        <v>46042</v>
      </c>
      <c r="B70" s="3" t="inlineStr">
        <is>
          <t>INV-202601-0069</t>
        </is>
      </c>
      <c r="C70" s="3" t="inlineStr">
        <is>
          <t>Mara Safari Outfitters</t>
        </is>
      </c>
      <c r="D70" s="3" t="inlineStr">
        <is>
          <t>Standing Desk</t>
        </is>
      </c>
      <c r="E70" s="3" t="inlineStr">
        <is>
          <t>Furniture</t>
        </is>
      </c>
      <c r="F70" s="4" t="n">
        <v>23</v>
      </c>
      <c r="G70" s="5" t="n">
        <v>372.35</v>
      </c>
      <c r="H70" s="6" t="n">
        <v>0</v>
      </c>
      <c r="I70" s="6" t="n">
        <v>0.16</v>
      </c>
      <c r="J70" s="3" t="inlineStr">
        <is>
          <t>Grace Achieng</t>
        </is>
      </c>
      <c r="K70" s="5">
        <f>F70*G70</f>
        <v/>
      </c>
      <c r="L70" s="5">
        <f>K70*H70</f>
        <v/>
      </c>
      <c r="M70" s="5">
        <f>(K70-L70)*I70</f>
        <v/>
      </c>
      <c r="N70" s="5">
        <f>K70-L70+M70</f>
        <v/>
      </c>
    </row>
    <row r="71">
      <c r="A71" s="2" t="n">
        <v>46043</v>
      </c>
      <c r="B71" s="3" t="inlineStr">
        <is>
          <t>INV-202601-0070</t>
        </is>
      </c>
      <c r="C71" s="3" t="inlineStr">
        <is>
          <t>Mara Safari Outfitters</t>
        </is>
      </c>
      <c r="D71" s="3" t="inlineStr">
        <is>
          <t>Whiteboard Markers</t>
        </is>
      </c>
      <c r="E71" s="3" t="inlineStr">
        <is>
          <t>Stationery</t>
        </is>
      </c>
      <c r="F71" s="4" t="n">
        <v>22</v>
      </c>
      <c r="G71" s="5" t="n">
        <v>10.24</v>
      </c>
      <c r="H71" s="6" t="n">
        <v>0</v>
      </c>
      <c r="I71" s="6" t="n">
        <v>0.08</v>
      </c>
      <c r="J71" s="3" t="inlineStr">
        <is>
          <t>Esther Wanjiru</t>
        </is>
      </c>
      <c r="K71" s="5">
        <f>F71*G71</f>
        <v/>
      </c>
      <c r="L71" s="5">
        <f>K71*H71</f>
        <v/>
      </c>
      <c r="M71" s="5">
        <f>(K71-L71)*I71</f>
        <v/>
      </c>
      <c r="N71" s="5">
        <f>K71-L71+M71</f>
        <v/>
      </c>
    </row>
    <row r="72">
      <c r="A72" s="2" t="n">
        <v>46043</v>
      </c>
      <c r="B72" s="3" t="inlineStr">
        <is>
          <t>INV-202601-0071</t>
        </is>
      </c>
      <c r="C72" s="3" t="inlineStr">
        <is>
          <t>Rift Valley Farms</t>
        </is>
      </c>
      <c r="D72" s="3" t="inlineStr">
        <is>
          <t>Filing Cabinet</t>
        </is>
      </c>
      <c r="E72" s="3" t="inlineStr">
        <is>
          <t>Furniture</t>
        </is>
      </c>
      <c r="F72" s="4" t="n">
        <v>1</v>
      </c>
      <c r="G72" s="5" t="n">
        <v>126.46</v>
      </c>
      <c r="H72" s="6" t="n">
        <v>0</v>
      </c>
      <c r="I72" s="6" t="n">
        <v>0.16</v>
      </c>
      <c r="J72" s="3" t="inlineStr">
        <is>
          <t>Felix Odhiambo</t>
        </is>
      </c>
      <c r="K72" s="5">
        <f>F72*G72</f>
        <v/>
      </c>
      <c r="L72" s="5">
        <f>K72*H72</f>
        <v/>
      </c>
      <c r="M72" s="5">
        <f>(K72-L72)*I72</f>
        <v/>
      </c>
      <c r="N72" s="5">
        <f>K72-L72+M72</f>
        <v/>
      </c>
    </row>
    <row r="73">
      <c r="A73" s="2" t="n">
        <v>46043</v>
      </c>
      <c r="B73" s="3" t="inlineStr">
        <is>
          <t>INV-202601-0072</t>
        </is>
      </c>
      <c r="C73" s="3" t="inlineStr">
        <is>
          <t>Orchid Salon</t>
        </is>
      </c>
      <c r="D73" s="3" t="inlineStr">
        <is>
          <t>A4 Paper Ream</t>
        </is>
      </c>
      <c r="E73" s="3" t="inlineStr">
        <is>
          <t>Stationery</t>
        </is>
      </c>
      <c r="F73" s="4" t="n">
        <v>15</v>
      </c>
      <c r="G73" s="5" t="n">
        <v>5.53</v>
      </c>
      <c r="H73" s="6" t="n">
        <v>0.05</v>
      </c>
      <c r="I73" s="6" t="n">
        <v>0.08</v>
      </c>
      <c r="J73" s="3" t="inlineStr">
        <is>
          <t>Carol Njeri</t>
        </is>
      </c>
      <c r="K73" s="5">
        <f>F73*G73</f>
        <v/>
      </c>
      <c r="L73" s="5">
        <f>K73*H73</f>
        <v/>
      </c>
      <c r="M73" s="5">
        <f>(K73-L73)*I73</f>
        <v/>
      </c>
      <c r="N73" s="5">
        <f>K73-L73+M73</f>
        <v/>
      </c>
    </row>
    <row r="74">
      <c r="A74" s="2" t="n">
        <v>46043</v>
      </c>
      <c r="B74" s="3" t="inlineStr">
        <is>
          <t>INV-202601-0073</t>
        </is>
      </c>
      <c r="C74" s="3" t="inlineStr">
        <is>
          <t>Cedar Hardware</t>
        </is>
      </c>
      <c r="D74" s="3" t="inlineStr">
        <is>
          <t>Whiteboard Markers</t>
        </is>
      </c>
      <c r="E74" s="3" t="inlineStr">
        <is>
          <t>Stationery</t>
        </is>
      </c>
      <c r="F74" s="4" t="n">
        <v>10</v>
      </c>
      <c r="G74" s="5" t="n">
        <v>8.609999999999999</v>
      </c>
      <c r="H74" s="6" t="n">
        <v>0.05</v>
      </c>
      <c r="I74" s="6" t="n">
        <v>0.08</v>
      </c>
      <c r="J74" s="3" t="inlineStr">
        <is>
          <t>Felix Odhiambo</t>
        </is>
      </c>
      <c r="K74" s="5">
        <f>F74*G74</f>
        <v/>
      </c>
      <c r="L74" s="5">
        <f>K74*H74</f>
        <v/>
      </c>
      <c r="M74" s="5">
        <f>(K74-L74)*I74</f>
        <v/>
      </c>
      <c r="N74" s="5">
        <f>K74-L74+M74</f>
        <v/>
      </c>
    </row>
    <row r="75">
      <c r="A75" s="2" t="n">
        <v>46044</v>
      </c>
      <c r="B75" s="3" t="inlineStr">
        <is>
          <t>INV-202601-0074</t>
        </is>
      </c>
      <c r="C75" s="3" t="inlineStr">
        <is>
          <t>Highland Clinic</t>
        </is>
      </c>
      <c r="D75" s="3" t="inlineStr">
        <is>
          <t>Wireless Mouse</t>
        </is>
      </c>
      <c r="E75" s="3" t="inlineStr">
        <is>
          <t>Electronics</t>
        </is>
      </c>
      <c r="F75" s="4" t="n">
        <v>22</v>
      </c>
      <c r="G75" s="5" t="n">
        <v>19.14</v>
      </c>
      <c r="H75" s="6" t="n">
        <v>0.1</v>
      </c>
      <c r="I75" s="6" t="n">
        <v>0.16</v>
      </c>
      <c r="J75" s="3" t="inlineStr">
        <is>
          <t>Carol Njeri</t>
        </is>
      </c>
      <c r="K75" s="5">
        <f>F75*G75</f>
        <v/>
      </c>
      <c r="L75" s="5">
        <f>K75*H75</f>
        <v/>
      </c>
      <c r="M75" s="5">
        <f>(K75-L75)*I75</f>
        <v/>
      </c>
      <c r="N75" s="5">
        <f>K75-L75+M75</f>
        <v/>
      </c>
    </row>
    <row r="76">
      <c r="A76" s="2" t="n">
        <v>46044</v>
      </c>
      <c r="B76" s="3" t="inlineStr">
        <is>
          <t>INV-202601-0075</t>
        </is>
      </c>
      <c r="C76" s="3" t="inlineStr">
        <is>
          <t>Baobab Traders</t>
        </is>
      </c>
      <c r="D76" s="3" t="inlineStr">
        <is>
          <t>Laptop Pro 15</t>
        </is>
      </c>
      <c r="E76" s="3" t="inlineStr">
        <is>
          <t>Electronics</t>
        </is>
      </c>
      <c r="F76" s="4" t="n">
        <v>8</v>
      </c>
      <c r="G76" s="5" t="n">
        <v>1242.45</v>
      </c>
      <c r="H76" s="6" t="n">
        <v>0.05</v>
      </c>
      <c r="I76" s="6" t="n">
        <v>0.16</v>
      </c>
      <c r="J76" s="3" t="inlineStr">
        <is>
          <t>Brian Mwangi</t>
        </is>
      </c>
      <c r="K76" s="5">
        <f>F76*G76</f>
        <v/>
      </c>
      <c r="L76" s="5">
        <f>K76*H76</f>
        <v/>
      </c>
      <c r="M76" s="5">
        <f>(K76-L76)*I76</f>
        <v/>
      </c>
      <c r="N76" s="5">
        <f>K76-L76+M76</f>
        <v/>
      </c>
    </row>
    <row r="77">
      <c r="A77" s="2" t="n">
        <v>46045</v>
      </c>
      <c r="B77" s="3" t="inlineStr">
        <is>
          <t>INV-202601-0076</t>
        </is>
      </c>
      <c r="C77" s="3" t="inlineStr">
        <is>
          <t>Nile Stationers</t>
        </is>
      </c>
      <c r="D77" s="3" t="inlineStr">
        <is>
          <t>A4 Paper Ream</t>
        </is>
      </c>
      <c r="E77" s="3" t="inlineStr">
        <is>
          <t>Stationery</t>
        </is>
      </c>
      <c r="F77" s="4" t="n">
        <v>21</v>
      </c>
      <c r="G77" s="5" t="n">
        <v>5.23</v>
      </c>
      <c r="H77" s="6" t="n">
        <v>0.05</v>
      </c>
      <c r="I77" s="6" t="n">
        <v>0.08</v>
      </c>
      <c r="J77" s="3" t="inlineStr">
        <is>
          <t>Grace Achieng</t>
        </is>
      </c>
      <c r="K77" s="5">
        <f>F77*G77</f>
        <v/>
      </c>
      <c r="L77" s="5">
        <f>K77*H77</f>
        <v/>
      </c>
      <c r="M77" s="5">
        <f>(K77-L77)*I77</f>
        <v/>
      </c>
      <c r="N77" s="5">
        <f>K77-L77+M77</f>
        <v/>
      </c>
    </row>
    <row r="78">
      <c r="A78" s="2" t="n">
        <v>46045</v>
      </c>
      <c r="B78" s="3" t="inlineStr">
        <is>
          <t>INV-202601-0077</t>
        </is>
      </c>
      <c r="C78" s="3" t="inlineStr">
        <is>
          <t>Mara Safari Outfitters</t>
        </is>
      </c>
      <c r="D78" s="3" t="inlineStr">
        <is>
          <t>A4 Paper Ream</t>
        </is>
      </c>
      <c r="E78" s="3" t="inlineStr">
        <is>
          <t>Stationery</t>
        </is>
      </c>
      <c r="F78" s="4" t="n">
        <v>8</v>
      </c>
      <c r="G78" s="5" t="n">
        <v>3.94</v>
      </c>
      <c r="H78" s="6" t="n">
        <v>0.05</v>
      </c>
      <c r="I78" s="6" t="n">
        <v>0.08</v>
      </c>
      <c r="J78" s="3" t="inlineStr">
        <is>
          <t>Brian Mwangi</t>
        </is>
      </c>
      <c r="K78" s="5">
        <f>F78*G78</f>
        <v/>
      </c>
      <c r="L78" s="5">
        <f>K78*H78</f>
        <v/>
      </c>
      <c r="M78" s="5">
        <f>(K78-L78)*I78</f>
        <v/>
      </c>
      <c r="N78" s="5">
        <f>K78-L78+M78</f>
        <v/>
      </c>
    </row>
    <row r="79">
      <c r="A79" s="2" t="n">
        <v>46045</v>
      </c>
      <c r="B79" s="3" t="inlineStr">
        <is>
          <t>INV-202601-0078</t>
        </is>
      </c>
      <c r="C79" s="3" t="inlineStr">
        <is>
          <t>Nile Stationers</t>
        </is>
      </c>
      <c r="D79" s="3" t="inlineStr">
        <is>
          <t>Printer Toner</t>
        </is>
      </c>
      <c r="E79" s="3" t="inlineStr">
        <is>
          <t>Consumables</t>
        </is>
      </c>
      <c r="F79" s="4" t="n">
        <v>8</v>
      </c>
      <c r="G79" s="5" t="n">
        <v>48.03</v>
      </c>
      <c r="H79" s="6" t="n">
        <v>0.15</v>
      </c>
      <c r="I79" s="6" t="n">
        <v>0</v>
      </c>
      <c r="J79" s="3" t="inlineStr">
        <is>
          <t>Hassan Ali</t>
        </is>
      </c>
      <c r="K79" s="5">
        <f>F79*G79</f>
        <v/>
      </c>
      <c r="L79" s="5">
        <f>K79*H79</f>
        <v/>
      </c>
      <c r="M79" s="5">
        <f>(K79-L79)*I79</f>
        <v/>
      </c>
      <c r="N79" s="5">
        <f>K79-L79+M79</f>
        <v/>
      </c>
    </row>
    <row r="80">
      <c r="A80" s="2" t="n">
        <v>46045</v>
      </c>
      <c r="B80" s="3" t="inlineStr">
        <is>
          <t>INV-202601-0079</t>
        </is>
      </c>
      <c r="C80" s="3" t="inlineStr">
        <is>
          <t>Rift Valley Farms</t>
        </is>
      </c>
      <c r="D80" s="3" t="inlineStr">
        <is>
          <t>Laptop Pro 15</t>
        </is>
      </c>
      <c r="E80" s="3" t="inlineStr">
        <is>
          <t>Electronics</t>
        </is>
      </c>
      <c r="F80" s="4" t="n">
        <v>8</v>
      </c>
      <c r="G80" s="5" t="n">
        <v>1211.21</v>
      </c>
      <c r="H80" s="6" t="n">
        <v>0</v>
      </c>
      <c r="I80" s="6" t="n">
        <v>0.16</v>
      </c>
      <c r="J80" s="3" t="inlineStr">
        <is>
          <t>Carol Njeri</t>
        </is>
      </c>
      <c r="K80" s="5">
        <f>F80*G80</f>
        <v/>
      </c>
      <c r="L80" s="5">
        <f>K80*H80</f>
        <v/>
      </c>
      <c r="M80" s="5">
        <f>(K80-L80)*I80</f>
        <v/>
      </c>
      <c r="N80" s="5">
        <f>K80-L80+M80</f>
        <v/>
      </c>
    </row>
    <row r="81">
      <c r="A81" s="2" t="n">
        <v>46046</v>
      </c>
      <c r="B81" s="3" t="inlineStr">
        <is>
          <t>INV-202601-0080</t>
        </is>
      </c>
      <c r="C81" s="3" t="inlineStr">
        <is>
          <t>Orchid Salon</t>
        </is>
      </c>
      <c r="D81" s="3" t="inlineStr">
        <is>
          <t>Printer Toner</t>
        </is>
      </c>
      <c r="E81" s="3" t="inlineStr">
        <is>
          <t>Consumables</t>
        </is>
      </c>
      <c r="F81" s="4" t="n">
        <v>22</v>
      </c>
      <c r="G81" s="5" t="n">
        <v>68.27</v>
      </c>
      <c r="H81" s="6" t="n">
        <v>0.05</v>
      </c>
      <c r="I81" s="6" t="n">
        <v>0</v>
      </c>
      <c r="J81" s="3" t="inlineStr">
        <is>
          <t>Felix Odhiambo</t>
        </is>
      </c>
      <c r="K81" s="5">
        <f>F81*G81</f>
        <v/>
      </c>
      <c r="L81" s="5">
        <f>K81*H81</f>
        <v/>
      </c>
      <c r="M81" s="5">
        <f>(K81-L81)*I81</f>
        <v/>
      </c>
      <c r="N81" s="5">
        <f>K81-L81+M81</f>
        <v/>
      </c>
    </row>
    <row r="82">
      <c r="A82" s="2" t="n">
        <v>46046</v>
      </c>
      <c r="B82" s="3" t="inlineStr">
        <is>
          <t>INV-202601-0081</t>
        </is>
      </c>
      <c r="C82" s="3" t="inlineStr">
        <is>
          <t>Orchid Salon</t>
        </is>
      </c>
      <c r="D82" s="3" t="inlineStr">
        <is>
          <t>Printer Toner</t>
        </is>
      </c>
      <c r="E82" s="3" t="inlineStr">
        <is>
          <t>Consumables</t>
        </is>
      </c>
      <c r="F82" s="4" t="n">
        <v>20</v>
      </c>
      <c r="G82" s="5" t="n">
        <v>84.45999999999999</v>
      </c>
      <c r="H82" s="6" t="n">
        <v>0.1</v>
      </c>
      <c r="I82" s="6" t="n">
        <v>0</v>
      </c>
      <c r="J82" s="3" t="inlineStr">
        <is>
          <t>Grace Achieng</t>
        </is>
      </c>
      <c r="K82" s="5">
        <f>F82*G82</f>
        <v/>
      </c>
      <c r="L82" s="5">
        <f>K82*H82</f>
        <v/>
      </c>
      <c r="M82" s="5">
        <f>(K82-L82)*I82</f>
        <v/>
      </c>
      <c r="N82" s="5">
        <f>K82-L82+M82</f>
        <v/>
      </c>
    </row>
    <row r="83">
      <c r="A83" s="2" t="n">
        <v>46046</v>
      </c>
      <c r="B83" s="3" t="inlineStr">
        <is>
          <t>INV-202601-0082</t>
        </is>
      </c>
      <c r="C83" s="3" t="inlineStr">
        <is>
          <t>Rift Valley Farms</t>
        </is>
      </c>
      <c r="D83" s="3" t="inlineStr">
        <is>
          <t>Coffee Beans 1kg</t>
        </is>
      </c>
      <c r="E83" s="3" t="inlineStr">
        <is>
          <t>Consumables</t>
        </is>
      </c>
      <c r="F83" s="4" t="n">
        <v>15</v>
      </c>
      <c r="G83" s="5" t="n">
        <v>22.66</v>
      </c>
      <c r="H83" s="6" t="n">
        <v>0.05</v>
      </c>
      <c r="I83" s="6" t="n">
        <v>0</v>
      </c>
      <c r="J83" s="3" t="inlineStr">
        <is>
          <t>Hassan Ali</t>
        </is>
      </c>
      <c r="K83" s="5">
        <f>F83*G83</f>
        <v/>
      </c>
      <c r="L83" s="5">
        <f>K83*H83</f>
        <v/>
      </c>
      <c r="M83" s="5">
        <f>(K83-L83)*I83</f>
        <v/>
      </c>
      <c r="N83" s="5">
        <f>K83-L83+M83</f>
        <v/>
      </c>
    </row>
    <row r="84">
      <c r="A84" s="2" t="n">
        <v>46046</v>
      </c>
      <c r="B84" s="3" t="inlineStr">
        <is>
          <t>INV-202601-0083</t>
        </is>
      </c>
      <c r="C84" s="3" t="inlineStr">
        <is>
          <t>Ivory Interiors</t>
        </is>
      </c>
      <c r="D84" s="3" t="inlineStr">
        <is>
          <t>A4 Paper Ream</t>
        </is>
      </c>
      <c r="E84" s="3" t="inlineStr">
        <is>
          <t>Stationery</t>
        </is>
      </c>
      <c r="F84" s="4" t="n">
        <v>25</v>
      </c>
      <c r="G84" s="5" t="n">
        <v>4.24</v>
      </c>
      <c r="H84" s="6" t="n">
        <v>0.05</v>
      </c>
      <c r="I84" s="6" t="n">
        <v>0.08</v>
      </c>
      <c r="J84" s="3" t="inlineStr">
        <is>
          <t>Hassan Ali</t>
        </is>
      </c>
      <c r="K84" s="5">
        <f>F84*G84</f>
        <v/>
      </c>
      <c r="L84" s="5">
        <f>K84*H84</f>
        <v/>
      </c>
      <c r="M84" s="5">
        <f>(K84-L84)*I84</f>
        <v/>
      </c>
      <c r="N84" s="5">
        <f>K84-L84+M84</f>
        <v/>
      </c>
    </row>
    <row r="85">
      <c r="A85" s="2" t="n">
        <v>46047</v>
      </c>
      <c r="B85" s="3" t="inlineStr">
        <is>
          <t>INV-202601-0084</t>
        </is>
      </c>
      <c r="C85" s="3" t="inlineStr">
        <is>
          <t>Highland Clinic</t>
        </is>
      </c>
      <c r="D85" s="3" t="inlineStr">
        <is>
          <t>Whiteboard Markers</t>
        </is>
      </c>
      <c r="E85" s="3" t="inlineStr">
        <is>
          <t>Stationery</t>
        </is>
      </c>
      <c r="F85" s="4" t="n">
        <v>9</v>
      </c>
      <c r="G85" s="5" t="n">
        <v>8.08</v>
      </c>
      <c r="H85" s="6" t="n">
        <v>0.05</v>
      </c>
      <c r="I85" s="6" t="n">
        <v>0.08</v>
      </c>
      <c r="J85" s="3" t="inlineStr">
        <is>
          <t>David Kamau</t>
        </is>
      </c>
      <c r="K85" s="5">
        <f>F85*G85</f>
        <v/>
      </c>
      <c r="L85" s="5">
        <f>K85*H85</f>
        <v/>
      </c>
      <c r="M85" s="5">
        <f>(K85-L85)*I85</f>
        <v/>
      </c>
      <c r="N85" s="5">
        <f>K85-L85+M85</f>
        <v/>
      </c>
    </row>
    <row r="86">
      <c r="A86" s="2" t="n">
        <v>46047</v>
      </c>
      <c r="B86" s="3" t="inlineStr">
        <is>
          <t>INV-202601-0085</t>
        </is>
      </c>
      <c r="C86" s="3" t="inlineStr">
        <is>
          <t>Kilimani Tech Hub</t>
        </is>
      </c>
      <c r="D86" s="3" t="inlineStr">
        <is>
          <t>Ergonomic Chair</t>
        </is>
      </c>
      <c r="E86" s="3" t="inlineStr">
        <is>
          <t>Furniture</t>
        </is>
      </c>
      <c r="F86" s="4" t="n">
        <v>11</v>
      </c>
      <c r="G86" s="5" t="n">
        <v>354.33</v>
      </c>
      <c r="H86" s="6" t="n">
        <v>0</v>
      </c>
      <c r="I86" s="6" t="n">
        <v>0.16</v>
      </c>
      <c r="J86" s="3" t="inlineStr">
        <is>
          <t>Carol Njeri</t>
        </is>
      </c>
      <c r="K86" s="5">
        <f>F86*G86</f>
        <v/>
      </c>
      <c r="L86" s="5">
        <f>K86*H86</f>
        <v/>
      </c>
      <c r="M86" s="5">
        <f>(K86-L86)*I86</f>
        <v/>
      </c>
      <c r="N86" s="5">
        <f>K86-L86+M86</f>
        <v/>
      </c>
    </row>
    <row r="87">
      <c r="A87" s="2" t="n">
        <v>46047</v>
      </c>
      <c r="B87" s="3" t="inlineStr">
        <is>
          <t>INV-202601-0086</t>
        </is>
      </c>
      <c r="C87" s="3" t="inlineStr">
        <is>
          <t>Mara Safari Outfitters</t>
        </is>
      </c>
      <c r="D87" s="3" t="inlineStr">
        <is>
          <t>27-inch Monitor</t>
        </is>
      </c>
      <c r="E87" s="3" t="inlineStr">
        <is>
          <t>Electronics</t>
        </is>
      </c>
      <c r="F87" s="4" t="n">
        <v>23</v>
      </c>
      <c r="G87" s="5" t="n">
        <v>216.67</v>
      </c>
      <c r="H87" s="6" t="n">
        <v>0</v>
      </c>
      <c r="I87" s="6" t="n">
        <v>0.16</v>
      </c>
      <c r="J87" s="3" t="inlineStr">
        <is>
          <t>Grace Achieng</t>
        </is>
      </c>
      <c r="K87" s="5">
        <f>F87*G87</f>
        <v/>
      </c>
      <c r="L87" s="5">
        <f>K87*H87</f>
        <v/>
      </c>
      <c r="M87" s="5">
        <f>(K87-L87)*I87</f>
        <v/>
      </c>
      <c r="N87" s="5">
        <f>K87-L87+M87</f>
        <v/>
      </c>
    </row>
    <row r="88">
      <c r="A88" s="2" t="n">
        <v>46048</v>
      </c>
      <c r="B88" s="3" t="inlineStr">
        <is>
          <t>INV-202601-0087</t>
        </is>
      </c>
      <c r="C88" s="3" t="inlineStr">
        <is>
          <t>Kilimani Tech Hub</t>
        </is>
      </c>
      <c r="D88" s="3" t="inlineStr">
        <is>
          <t>Filing Cabinet</t>
        </is>
      </c>
      <c r="E88" s="3" t="inlineStr">
        <is>
          <t>Furniture</t>
        </is>
      </c>
      <c r="F88" s="4" t="n">
        <v>18</v>
      </c>
      <c r="G88" s="5" t="n">
        <v>145.91</v>
      </c>
      <c r="H88" s="6" t="n">
        <v>0</v>
      </c>
      <c r="I88" s="6" t="n">
        <v>0.16</v>
      </c>
      <c r="J88" s="3" t="inlineStr">
        <is>
          <t>Grace Achieng</t>
        </is>
      </c>
      <c r="K88" s="5">
        <f>F88*G88</f>
        <v/>
      </c>
      <c r="L88" s="5">
        <f>K88*H88</f>
        <v/>
      </c>
      <c r="M88" s="5">
        <f>(K88-L88)*I88</f>
        <v/>
      </c>
      <c r="N88" s="5">
        <f>K88-L88+M88</f>
        <v/>
      </c>
    </row>
    <row r="89">
      <c r="A89" s="2" t="n">
        <v>46048</v>
      </c>
      <c r="B89" s="3" t="inlineStr">
        <is>
          <t>INV-202601-0088</t>
        </is>
      </c>
      <c r="C89" s="3" t="inlineStr">
        <is>
          <t>Savanna Bookshop</t>
        </is>
      </c>
      <c r="D89" s="3" t="inlineStr">
        <is>
          <t>Filing Cabinet</t>
        </is>
      </c>
      <c r="E89" s="3" t="inlineStr">
        <is>
          <t>Furniture</t>
        </is>
      </c>
      <c r="F89" s="4" t="n">
        <v>23</v>
      </c>
      <c r="G89" s="5" t="n">
        <v>92.34</v>
      </c>
      <c r="H89" s="6" t="n">
        <v>0.1</v>
      </c>
      <c r="I89" s="6" t="n">
        <v>0.16</v>
      </c>
      <c r="J89" s="3" t="inlineStr">
        <is>
          <t>Grace Achieng</t>
        </is>
      </c>
      <c r="K89" s="5">
        <f>F89*G89</f>
        <v/>
      </c>
      <c r="L89" s="5">
        <f>K89*H89</f>
        <v/>
      </c>
      <c r="M89" s="5">
        <f>(K89-L89)*I89</f>
        <v/>
      </c>
      <c r="N89" s="5">
        <f>K89-L89+M89</f>
        <v/>
      </c>
    </row>
    <row r="90">
      <c r="A90" s="2" t="n">
        <v>46048</v>
      </c>
      <c r="B90" s="3" t="inlineStr">
        <is>
          <t>INV-202601-0089</t>
        </is>
      </c>
      <c r="C90" s="3" t="inlineStr">
        <is>
          <t>Acacia Retail Ltd</t>
        </is>
      </c>
      <c r="D90" s="3" t="inlineStr">
        <is>
          <t>A4 Paper Ream</t>
        </is>
      </c>
      <c r="E90" s="3" t="inlineStr">
        <is>
          <t>Stationery</t>
        </is>
      </c>
      <c r="F90" s="4" t="n">
        <v>12</v>
      </c>
      <c r="G90" s="5" t="n">
        <v>4.4</v>
      </c>
      <c r="H90" s="6" t="n">
        <v>0</v>
      </c>
      <c r="I90" s="6" t="n">
        <v>0.08</v>
      </c>
      <c r="J90" s="3" t="inlineStr">
        <is>
          <t>Grace Achieng</t>
        </is>
      </c>
      <c r="K90" s="5">
        <f>F90*G90</f>
        <v/>
      </c>
      <c r="L90" s="5">
        <f>K90*H90</f>
        <v/>
      </c>
      <c r="M90" s="5">
        <f>(K90-L90)*I90</f>
        <v/>
      </c>
      <c r="N90" s="5">
        <f>K90-L90+M90</f>
        <v/>
      </c>
    </row>
    <row r="91">
      <c r="A91" s="2" t="n">
        <v>46049</v>
      </c>
      <c r="B91" s="3" t="inlineStr">
        <is>
          <t>INV-202601-0090</t>
        </is>
      </c>
      <c r="C91" s="3" t="inlineStr">
        <is>
          <t>Zebra Print Studio</t>
        </is>
      </c>
      <c r="D91" s="3" t="inlineStr">
        <is>
          <t>Ballpoint Pens (Box)</t>
        </is>
      </c>
      <c r="E91" s="3" t="inlineStr">
        <is>
          <t>Stationery</t>
        </is>
      </c>
      <c r="F91" s="4" t="n">
        <v>24</v>
      </c>
      <c r="G91" s="5" t="n">
        <v>6.73</v>
      </c>
      <c r="H91" s="6" t="n">
        <v>0.05</v>
      </c>
      <c r="I91" s="6" t="n">
        <v>0.08</v>
      </c>
      <c r="J91" s="3" t="inlineStr">
        <is>
          <t>David Kamau</t>
        </is>
      </c>
      <c r="K91" s="5">
        <f>F91*G91</f>
        <v/>
      </c>
      <c r="L91" s="5">
        <f>K91*H91</f>
        <v/>
      </c>
      <c r="M91" s="5">
        <f>(K91-L91)*I91</f>
        <v/>
      </c>
      <c r="N91" s="5">
        <f>K91-L91+M91</f>
        <v/>
      </c>
    </row>
    <row r="92">
      <c r="A92" s="2" t="n">
        <v>46049</v>
      </c>
      <c r="B92" s="3" t="inlineStr">
        <is>
          <t>INV-202601-0091</t>
        </is>
      </c>
      <c r="C92" s="3" t="inlineStr">
        <is>
          <t>Highland Clinic</t>
        </is>
      </c>
      <c r="D92" s="3" t="inlineStr">
        <is>
          <t>A4 Paper Ream</t>
        </is>
      </c>
      <c r="E92" s="3" t="inlineStr">
        <is>
          <t>Stationery</t>
        </is>
      </c>
      <c r="F92" s="4" t="n">
        <v>9</v>
      </c>
      <c r="G92" s="5" t="n">
        <v>4.81</v>
      </c>
      <c r="H92" s="6" t="n">
        <v>0</v>
      </c>
      <c r="I92" s="6" t="n">
        <v>0.08</v>
      </c>
      <c r="J92" s="3" t="inlineStr">
        <is>
          <t>Felix Odhiambo</t>
        </is>
      </c>
      <c r="K92" s="5">
        <f>F92*G92</f>
        <v/>
      </c>
      <c r="L92" s="5">
        <f>K92*H92</f>
        <v/>
      </c>
      <c r="M92" s="5">
        <f>(K92-L92)*I92</f>
        <v/>
      </c>
      <c r="N92" s="5">
        <f>K92-L92+M92</f>
        <v/>
      </c>
    </row>
    <row r="93">
      <c r="A93" s="2" t="n">
        <v>46050</v>
      </c>
      <c r="B93" s="3" t="inlineStr">
        <is>
          <t>INV-202601-0092</t>
        </is>
      </c>
      <c r="C93" s="3" t="inlineStr">
        <is>
          <t>Victoria Textiles</t>
        </is>
      </c>
      <c r="D93" s="3" t="inlineStr">
        <is>
          <t>Whiteboard Markers</t>
        </is>
      </c>
      <c r="E93" s="3" t="inlineStr">
        <is>
          <t>Stationery</t>
        </is>
      </c>
      <c r="F93" s="4" t="n">
        <v>13</v>
      </c>
      <c r="G93" s="5" t="n">
        <v>10.07</v>
      </c>
      <c r="H93" s="6" t="n">
        <v>0.1</v>
      </c>
      <c r="I93" s="6" t="n">
        <v>0.08</v>
      </c>
      <c r="J93" s="3" t="inlineStr">
        <is>
          <t>Carol Njeri</t>
        </is>
      </c>
      <c r="K93" s="5">
        <f>F93*G93</f>
        <v/>
      </c>
      <c r="L93" s="5">
        <f>K93*H93</f>
        <v/>
      </c>
      <c r="M93" s="5">
        <f>(K93-L93)*I93</f>
        <v/>
      </c>
      <c r="N93" s="5">
        <f>K93-L93+M93</f>
        <v/>
      </c>
    </row>
    <row r="94">
      <c r="A94" s="2" t="n">
        <v>46050</v>
      </c>
      <c r="B94" s="3" t="inlineStr">
        <is>
          <t>INV-202601-0093</t>
        </is>
      </c>
      <c r="C94" s="3" t="inlineStr">
        <is>
          <t>Rift Valley Farms</t>
        </is>
      </c>
      <c r="D94" s="3" t="inlineStr">
        <is>
          <t>Desk Organizer</t>
        </is>
      </c>
      <c r="E94" s="3" t="inlineStr">
        <is>
          <t>Stationery</t>
        </is>
      </c>
      <c r="F94" s="4" t="n">
        <v>1</v>
      </c>
      <c r="G94" s="5" t="n">
        <v>20.7</v>
      </c>
      <c r="H94" s="6" t="n">
        <v>0.05</v>
      </c>
      <c r="I94" s="6" t="n">
        <v>0.08</v>
      </c>
      <c r="J94" s="3" t="inlineStr">
        <is>
          <t>Amina Otieno</t>
        </is>
      </c>
      <c r="K94" s="5">
        <f>F94*G94</f>
        <v/>
      </c>
      <c r="L94" s="5">
        <f>K94*H94</f>
        <v/>
      </c>
      <c r="M94" s="5">
        <f>(K94-L94)*I94</f>
        <v/>
      </c>
      <c r="N94" s="5">
        <f>K94-L94+M94</f>
        <v/>
      </c>
    </row>
    <row r="95">
      <c r="A95" s="2" t="n">
        <v>46050</v>
      </c>
      <c r="B95" s="3" t="inlineStr">
        <is>
          <t>INV-202601-0094</t>
        </is>
      </c>
      <c r="C95" s="3" t="inlineStr">
        <is>
          <t>Umoja Sacco</t>
        </is>
      </c>
      <c r="D95" s="3" t="inlineStr">
        <is>
          <t>Wireless Mouse</t>
        </is>
      </c>
      <c r="E95" s="3" t="inlineStr">
        <is>
          <t>Electronics</t>
        </is>
      </c>
      <c r="F95" s="4" t="n">
        <v>14</v>
      </c>
      <c r="G95" s="5" t="n">
        <v>15.12</v>
      </c>
      <c r="H95" s="6" t="n">
        <v>0</v>
      </c>
      <c r="I95" s="6" t="n">
        <v>0.16</v>
      </c>
      <c r="J95" s="3" t="inlineStr">
        <is>
          <t>Amina Otieno</t>
        </is>
      </c>
      <c r="K95" s="5">
        <f>F95*G95</f>
        <v/>
      </c>
      <c r="L95" s="5">
        <f>K95*H95</f>
        <v/>
      </c>
      <c r="M95" s="5">
        <f>(K95-L95)*I95</f>
        <v/>
      </c>
      <c r="N95" s="5">
        <f>K95-L95+M95</f>
        <v/>
      </c>
    </row>
    <row r="96">
      <c r="A96" s="2" t="n">
        <v>46050</v>
      </c>
      <c r="B96" s="3" t="inlineStr">
        <is>
          <t>INV-202601-0095</t>
        </is>
      </c>
      <c r="C96" s="3" t="inlineStr">
        <is>
          <t>Mara Safari Outfitters</t>
        </is>
      </c>
      <c r="D96" s="3" t="inlineStr">
        <is>
          <t>Ergonomic Chair</t>
        </is>
      </c>
      <c r="E96" s="3" t="inlineStr">
        <is>
          <t>Furniture</t>
        </is>
      </c>
      <c r="F96" s="4" t="n">
        <v>11</v>
      </c>
      <c r="G96" s="5" t="n">
        <v>190.8</v>
      </c>
      <c r="H96" s="6" t="n">
        <v>0</v>
      </c>
      <c r="I96" s="6" t="n">
        <v>0.16</v>
      </c>
      <c r="J96" s="3" t="inlineStr">
        <is>
          <t>Grace Achieng</t>
        </is>
      </c>
      <c r="K96" s="5">
        <f>F96*G96</f>
        <v/>
      </c>
      <c r="L96" s="5">
        <f>K96*H96</f>
        <v/>
      </c>
      <c r="M96" s="5">
        <f>(K96-L96)*I96</f>
        <v/>
      </c>
      <c r="N96" s="5">
        <f>K96-L96+M96</f>
        <v/>
      </c>
    </row>
    <row r="97">
      <c r="A97" s="2" t="n">
        <v>46050</v>
      </c>
      <c r="B97" s="3" t="inlineStr">
        <is>
          <t>INV-202601-0096</t>
        </is>
      </c>
      <c r="C97" s="3" t="inlineStr">
        <is>
          <t>Nile Stationers</t>
        </is>
      </c>
      <c r="D97" s="3" t="inlineStr">
        <is>
          <t>Ergonomic Chair</t>
        </is>
      </c>
      <c r="E97" s="3" t="inlineStr">
        <is>
          <t>Furniture</t>
        </is>
      </c>
      <c r="F97" s="4" t="n">
        <v>9</v>
      </c>
      <c r="G97" s="5" t="n">
        <v>340.38</v>
      </c>
      <c r="H97" s="6" t="n">
        <v>0</v>
      </c>
      <c r="I97" s="6" t="n">
        <v>0.16</v>
      </c>
      <c r="J97" s="3" t="inlineStr">
        <is>
          <t>Amina Otieno</t>
        </is>
      </c>
      <c r="K97" s="5">
        <f>F97*G97</f>
        <v/>
      </c>
      <c r="L97" s="5">
        <f>K97*H97</f>
        <v/>
      </c>
      <c r="M97" s="5">
        <f>(K97-L97)*I97</f>
        <v/>
      </c>
      <c r="N97" s="5">
        <f>K97-L97+M97</f>
        <v/>
      </c>
    </row>
    <row r="98">
      <c r="A98" s="2" t="n">
        <v>46051</v>
      </c>
      <c r="B98" s="3" t="inlineStr">
        <is>
          <t>INV-202601-0097</t>
        </is>
      </c>
      <c r="C98" s="3" t="inlineStr">
        <is>
          <t>Highland Clinic</t>
        </is>
      </c>
      <c r="D98" s="3" t="inlineStr">
        <is>
          <t>Standing Desk</t>
        </is>
      </c>
      <c r="E98" s="3" t="inlineStr">
        <is>
          <t>Furniture</t>
        </is>
      </c>
      <c r="F98" s="4" t="n">
        <v>21</v>
      </c>
      <c r="G98" s="5" t="n">
        <v>286.07</v>
      </c>
      <c r="H98" s="6" t="n">
        <v>0.15</v>
      </c>
      <c r="I98" s="6" t="n">
        <v>0.16</v>
      </c>
      <c r="J98" s="3" t="inlineStr">
        <is>
          <t>Amina Otieno</t>
        </is>
      </c>
      <c r="K98" s="5">
        <f>F98*G98</f>
        <v/>
      </c>
      <c r="L98" s="5">
        <f>K98*H98</f>
        <v/>
      </c>
      <c r="M98" s="5">
        <f>(K98-L98)*I98</f>
        <v/>
      </c>
      <c r="N98" s="5">
        <f>K98-L98+M98</f>
        <v/>
      </c>
    </row>
    <row r="99">
      <c r="A99" s="2" t="n">
        <v>46051</v>
      </c>
      <c r="B99" s="3" t="inlineStr">
        <is>
          <t>INV-202601-0098</t>
        </is>
      </c>
      <c r="C99" s="3" t="inlineStr">
        <is>
          <t>Acacia Retail Ltd</t>
        </is>
      </c>
      <c r="D99" s="3" t="inlineStr">
        <is>
          <t>Printer Toner</t>
        </is>
      </c>
      <c r="E99" s="3" t="inlineStr">
        <is>
          <t>Consumables</t>
        </is>
      </c>
      <c r="F99" s="4" t="n">
        <v>8</v>
      </c>
      <c r="G99" s="5" t="n">
        <v>49.36</v>
      </c>
      <c r="H99" s="6" t="n">
        <v>0</v>
      </c>
      <c r="I99" s="6" t="n">
        <v>0</v>
      </c>
      <c r="J99" s="3" t="inlineStr">
        <is>
          <t>Carol Njeri</t>
        </is>
      </c>
      <c r="K99" s="5">
        <f>F99*G99</f>
        <v/>
      </c>
      <c r="L99" s="5">
        <f>K99*H99</f>
        <v/>
      </c>
      <c r="M99" s="5">
        <f>(K99-L99)*I99</f>
        <v/>
      </c>
      <c r="N99" s="5">
        <f>K99-L99+M99</f>
        <v/>
      </c>
    </row>
    <row r="100">
      <c r="A100" s="2" t="n">
        <v>46052</v>
      </c>
      <c r="B100" s="3" t="inlineStr">
        <is>
          <t>INV-202601-0099</t>
        </is>
      </c>
      <c r="C100" s="3" t="inlineStr">
        <is>
          <t>Equator Logistics</t>
        </is>
      </c>
      <c r="D100" s="3" t="inlineStr">
        <is>
          <t>27-inch Monitor</t>
        </is>
      </c>
      <c r="E100" s="3" t="inlineStr">
        <is>
          <t>Electronics</t>
        </is>
      </c>
      <c r="F100" s="4" t="n">
        <v>16</v>
      </c>
      <c r="G100" s="5" t="n">
        <v>340.67</v>
      </c>
      <c r="H100" s="6" t="n">
        <v>0.05</v>
      </c>
      <c r="I100" s="6" t="n">
        <v>0.16</v>
      </c>
      <c r="J100" s="3" t="inlineStr">
        <is>
          <t>David Kamau</t>
        </is>
      </c>
      <c r="K100" s="5">
        <f>F100*G100</f>
        <v/>
      </c>
      <c r="L100" s="5">
        <f>K100*H100</f>
        <v/>
      </c>
      <c r="M100" s="5">
        <f>(K100-L100)*I100</f>
        <v/>
      </c>
      <c r="N100" s="5">
        <f>K100-L100+M100</f>
        <v/>
      </c>
    </row>
    <row r="101">
      <c r="A101" s="2" t="n">
        <v>46053</v>
      </c>
      <c r="B101" s="3" t="inlineStr">
        <is>
          <t>INV-202601-0100</t>
        </is>
      </c>
      <c r="C101" s="3" t="inlineStr">
        <is>
          <t>Wema Foundation</t>
        </is>
      </c>
      <c r="D101" s="3" t="inlineStr">
        <is>
          <t>A4 Paper Ream</t>
        </is>
      </c>
      <c r="E101" s="3" t="inlineStr">
        <is>
          <t>Stationery</t>
        </is>
      </c>
      <c r="F101" s="4" t="n">
        <v>9</v>
      </c>
      <c r="G101" s="5" t="n">
        <v>5.8</v>
      </c>
      <c r="H101" s="6" t="n">
        <v>0</v>
      </c>
      <c r="I101" s="6" t="n">
        <v>0.08</v>
      </c>
      <c r="J101" s="3" t="inlineStr">
        <is>
          <t>Brian Mwangi</t>
        </is>
      </c>
      <c r="K101" s="5">
        <f>F101*G101</f>
        <v/>
      </c>
      <c r="L101" s="5">
        <f>K101*H101</f>
        <v/>
      </c>
      <c r="M101" s="5">
        <f>(K101-L101)*I101</f>
        <v/>
      </c>
      <c r="N101" s="5">
        <f>K101-L101+M101</f>
        <v/>
      </c>
    </row>
  </sheetData>
  <autoFilter ref="A1:N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2026-09-30T14:29:07Z</dcterms:created>
  <dcterms:modified xsi:type="dcterms:W3CDTF">2026-09-30T14:29:07Z</dcterms:modified>
</cp:coreProperties>
</file>